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Root\Desktop\工作資料\報價單系統\001\"/>
    </mc:Choice>
  </mc:AlternateContent>
  <xr:revisionPtr revIDLastSave="0" documentId="13_ncr:1_{4FF177F8-421F-4351-A685-B4D1A1861071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系統匯入資料" sheetId="2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Y246" i="2" l="1"/>
  <c r="Z246" i="2" s="1"/>
  <c r="AB246" i="2"/>
  <c r="AC246" i="2"/>
  <c r="AD246" i="2"/>
  <c r="AE246" i="2"/>
  <c r="Y247" i="2"/>
  <c r="Z247" i="2"/>
  <c r="AA247" i="2"/>
  <c r="AB247" i="2"/>
  <c r="AC247" i="2"/>
  <c r="AD247" i="2"/>
  <c r="AE247" i="2"/>
  <c r="Y248" i="2"/>
  <c r="AA248" i="2" s="1"/>
  <c r="Z248" i="2"/>
  <c r="Y249" i="2"/>
  <c r="Z249" i="2"/>
  <c r="AA249" i="2"/>
  <c r="AB249" i="2"/>
  <c r="AC249" i="2"/>
  <c r="AD249" i="2"/>
  <c r="AE249" i="2"/>
  <c r="Y250" i="2"/>
  <c r="AC250" i="2" s="1"/>
  <c r="Z250" i="2"/>
  <c r="AA250" i="2"/>
  <c r="AB250" i="2"/>
  <c r="Y251" i="2"/>
  <c r="Z251" i="2"/>
  <c r="AA251" i="2"/>
  <c r="AB251" i="2"/>
  <c r="AC251" i="2"/>
  <c r="AD251" i="2"/>
  <c r="AE251" i="2"/>
  <c r="Y252" i="2"/>
  <c r="AE252" i="2" s="1"/>
  <c r="Z252" i="2"/>
  <c r="AA252" i="2"/>
  <c r="AB252" i="2"/>
  <c r="AC252" i="2"/>
  <c r="AD252" i="2"/>
  <c r="Y253" i="2"/>
  <c r="Z253" i="2" s="1"/>
  <c r="AA253" i="2"/>
  <c r="AB253" i="2"/>
  <c r="AC253" i="2"/>
  <c r="AD253" i="2"/>
  <c r="AE253" i="2"/>
  <c r="Y254" i="2"/>
  <c r="Z254" i="2"/>
  <c r="AA254" i="2"/>
  <c r="AB254" i="2"/>
  <c r="AC254" i="2"/>
  <c r="AD254" i="2"/>
  <c r="AE254" i="2"/>
  <c r="Y255" i="2"/>
  <c r="Z255" i="2" s="1"/>
  <c r="Y256" i="2"/>
  <c r="Z256" i="2"/>
  <c r="AA256" i="2"/>
  <c r="AB256" i="2"/>
  <c r="AC256" i="2"/>
  <c r="AD256" i="2"/>
  <c r="AE256" i="2"/>
  <c r="Y257" i="2"/>
  <c r="AB257" i="2" s="1"/>
  <c r="Z257" i="2"/>
  <c r="AA257" i="2"/>
  <c r="Y258" i="2"/>
  <c r="Z258" i="2"/>
  <c r="AA258" i="2"/>
  <c r="AB258" i="2"/>
  <c r="AC258" i="2"/>
  <c r="AD258" i="2"/>
  <c r="AE258" i="2"/>
  <c r="Y259" i="2"/>
  <c r="AD259" i="2" s="1"/>
  <c r="Z259" i="2"/>
  <c r="AA259" i="2"/>
  <c r="AB259" i="2"/>
  <c r="AC259" i="2"/>
  <c r="Y260" i="2"/>
  <c r="Z260" i="2"/>
  <c r="AA260" i="2"/>
  <c r="AB260" i="2"/>
  <c r="AC260" i="2"/>
  <c r="AD260" i="2"/>
  <c r="AE260" i="2"/>
  <c r="Y261" i="2"/>
  <c r="Z261" i="2"/>
  <c r="AA261" i="2"/>
  <c r="AB261" i="2"/>
  <c r="AC261" i="2"/>
  <c r="AD261" i="2"/>
  <c r="AE261" i="2"/>
  <c r="Y262" i="2"/>
  <c r="Z262" i="2" s="1"/>
  <c r="AA262" i="2"/>
  <c r="AB262" i="2"/>
  <c r="AC262" i="2"/>
  <c r="AD262" i="2"/>
  <c r="AE262" i="2"/>
  <c r="M245" i="2"/>
  <c r="M246" i="2"/>
  <c r="M247" i="2"/>
  <c r="M248" i="2"/>
  <c r="M249" i="2"/>
  <c r="O249" i="2" s="1"/>
  <c r="M250" i="2"/>
  <c r="M251" i="2"/>
  <c r="O251" i="2" s="1"/>
  <c r="M252" i="2"/>
  <c r="O252" i="2" s="1"/>
  <c r="M253" i="2"/>
  <c r="M254" i="2"/>
  <c r="O254" i="2" s="1"/>
  <c r="M255" i="2"/>
  <c r="O255" i="2" s="1"/>
  <c r="M256" i="2"/>
  <c r="M257" i="2"/>
  <c r="M258" i="2"/>
  <c r="O258" i="2" s="1"/>
  <c r="M259" i="2"/>
  <c r="O259" i="2" s="1"/>
  <c r="M260" i="2"/>
  <c r="O260" i="2" s="1"/>
  <c r="M261" i="2"/>
  <c r="M262" i="2"/>
  <c r="O246" i="2"/>
  <c r="O247" i="2"/>
  <c r="O248" i="2"/>
  <c r="O250" i="2"/>
  <c r="O253" i="2"/>
  <c r="O256" i="2"/>
  <c r="O257" i="2"/>
  <c r="O261" i="2"/>
  <c r="O262" i="2"/>
  <c r="O242" i="2"/>
  <c r="Y242" i="2" s="1"/>
  <c r="O243" i="2"/>
  <c r="Y243" i="2" s="1"/>
  <c r="Z243" i="2" s="1"/>
  <c r="M234" i="2"/>
  <c r="O234" i="2" s="1"/>
  <c r="Y234" i="2" s="1"/>
  <c r="Z234" i="2" s="1"/>
  <c r="M235" i="2"/>
  <c r="O235" i="2" s="1"/>
  <c r="Y235" i="2" s="1"/>
  <c r="M236" i="2"/>
  <c r="O236" i="2" s="1"/>
  <c r="Y236" i="2" s="1"/>
  <c r="M237" i="2"/>
  <c r="O237" i="2" s="1"/>
  <c r="Y237" i="2" s="1"/>
  <c r="M238" i="2"/>
  <c r="O238" i="2" s="1"/>
  <c r="Y238" i="2" s="1"/>
  <c r="AC238" i="2" s="1"/>
  <c r="M239" i="2"/>
  <c r="O239" i="2" s="1"/>
  <c r="Y239" i="2" s="1"/>
  <c r="Z239" i="2" s="1"/>
  <c r="M240" i="2"/>
  <c r="O240" i="2" s="1"/>
  <c r="Y240" i="2" s="1"/>
  <c r="AE240" i="2" s="1"/>
  <c r="M241" i="2"/>
  <c r="O241" i="2" s="1"/>
  <c r="Y241" i="2" s="1"/>
  <c r="M242" i="2"/>
  <c r="M243" i="2"/>
  <c r="M244" i="2"/>
  <c r="O244" i="2" s="1"/>
  <c r="Y244" i="2" s="1"/>
  <c r="O245" i="2"/>
  <c r="Y245" i="2" s="1"/>
  <c r="AC255" i="2" l="1"/>
  <c r="AD257" i="2"/>
  <c r="AB255" i="2"/>
  <c r="AE250" i="2"/>
  <c r="AC248" i="2"/>
  <c r="AA246" i="2"/>
  <c r="AE255" i="2"/>
  <c r="AD255" i="2"/>
  <c r="AE248" i="2"/>
  <c r="AE257" i="2"/>
  <c r="AE259" i="2"/>
  <c r="AC257" i="2"/>
  <c r="AA255" i="2"/>
  <c r="AD250" i="2"/>
  <c r="AB248" i="2"/>
  <c r="AD248" i="2"/>
  <c r="Z237" i="2"/>
  <c r="AA237" i="2"/>
  <c r="AB237" i="2"/>
  <c r="AB245" i="2"/>
  <c r="Z245" i="2"/>
  <c r="AA245" i="2"/>
  <c r="AB241" i="2"/>
  <c r="Z241" i="2"/>
  <c r="AA236" i="2"/>
  <c r="Z236" i="2"/>
  <c r="Z235" i="2"/>
  <c r="AA235" i="2"/>
  <c r="AB235" i="2"/>
  <c r="AC235" i="2"/>
  <c r="AE235" i="2"/>
  <c r="AD235" i="2"/>
  <c r="Z242" i="2"/>
  <c r="AD242" i="2"/>
  <c r="AE242" i="2"/>
  <c r="AB242" i="2"/>
  <c r="AC242" i="2"/>
  <c r="AD244" i="2"/>
  <c r="Z244" i="2"/>
  <c r="AA244" i="2"/>
  <c r="AC244" i="2"/>
  <c r="AB244" i="2"/>
  <c r="AA240" i="2"/>
  <c r="AD240" i="2"/>
  <c r="AC240" i="2"/>
  <c r="AB240" i="2"/>
  <c r="AB238" i="2"/>
  <c r="AA242" i="2"/>
  <c r="AA238" i="2"/>
  <c r="Z238" i="2"/>
  <c r="AE241" i="2"/>
  <c r="AE237" i="2"/>
  <c r="Z240" i="2"/>
  <c r="AE244" i="2"/>
  <c r="AC241" i="2"/>
  <c r="AD237" i="2"/>
  <c r="AA241" i="2"/>
  <c r="AC237" i="2"/>
  <c r="AB234" i="2"/>
  <c r="AA234" i="2"/>
  <c r="AD239" i="2"/>
  <c r="AD241" i="2"/>
  <c r="AB239" i="2"/>
  <c r="AE234" i="2"/>
  <c r="AC239" i="2"/>
  <c r="AE243" i="2"/>
  <c r="AD234" i="2"/>
  <c r="AE239" i="2"/>
  <c r="AA239" i="2"/>
  <c r="AD243" i="2"/>
  <c r="AE236" i="2"/>
  <c r="AC234" i="2"/>
  <c r="AE245" i="2"/>
  <c r="AC243" i="2"/>
  <c r="AD236" i="2"/>
  <c r="AE238" i="2"/>
  <c r="AC245" i="2"/>
  <c r="AA243" i="2"/>
  <c r="AD238" i="2"/>
  <c r="AB236" i="2"/>
  <c r="AD245" i="2"/>
  <c r="AB243" i="2"/>
  <c r="AC236" i="2"/>
  <c r="K5" i="2" l="1"/>
  <c r="M5" i="2" s="1"/>
  <c r="O5" i="2" s="1"/>
  <c r="Y5" i="2" s="1"/>
  <c r="K6" i="2"/>
  <c r="K7" i="2"/>
  <c r="M7" i="2" s="1"/>
  <c r="K8" i="2"/>
  <c r="M8" i="2" s="1"/>
  <c r="K9" i="2"/>
  <c r="M9" i="2" s="1"/>
  <c r="K10" i="2"/>
  <c r="M10" i="2" s="1"/>
  <c r="O10" i="2" s="1"/>
  <c r="Y10" i="2" s="1"/>
  <c r="K11" i="2"/>
  <c r="M11" i="2" s="1"/>
  <c r="O11" i="2" s="1"/>
  <c r="K12" i="2"/>
  <c r="M12" i="2" s="1"/>
  <c r="O12" i="2" s="1"/>
  <c r="K13" i="2"/>
  <c r="M13" i="2" s="1"/>
  <c r="O13" i="2" s="1"/>
  <c r="K14" i="2"/>
  <c r="M14" i="2" s="1"/>
  <c r="O14" i="2" s="1"/>
  <c r="Y14" i="2" s="1"/>
  <c r="AE14" i="2" s="1"/>
  <c r="K15" i="2"/>
  <c r="M15" i="2" s="1"/>
  <c r="O15" i="2" s="1"/>
  <c r="K16" i="2"/>
  <c r="M16" i="2" s="1"/>
  <c r="K17" i="2"/>
  <c r="K18" i="2"/>
  <c r="M18" i="2" s="1"/>
  <c r="K19" i="2"/>
  <c r="M19" i="2" s="1"/>
  <c r="K20" i="2"/>
  <c r="M20" i="2" s="1"/>
  <c r="K21" i="2"/>
  <c r="M21" i="2" s="1"/>
  <c r="O21" i="2" s="1"/>
  <c r="K22" i="2"/>
  <c r="M22" i="2" s="1"/>
  <c r="O22" i="2" s="1"/>
  <c r="K23" i="2"/>
  <c r="M23" i="2" s="1"/>
  <c r="O23" i="2" s="1"/>
  <c r="K24" i="2"/>
  <c r="M24" i="2" s="1"/>
  <c r="K25" i="2"/>
  <c r="M25" i="2" s="1"/>
  <c r="O25" i="2" s="1"/>
  <c r="K26" i="2"/>
  <c r="M26" i="2" s="1"/>
  <c r="O26" i="2" s="1"/>
  <c r="K27" i="2"/>
  <c r="M27" i="2" s="1"/>
  <c r="O27" i="2" s="1"/>
  <c r="K28" i="2"/>
  <c r="M28" i="2" s="1"/>
  <c r="O28" i="2" s="1"/>
  <c r="K29" i="2"/>
  <c r="M29" i="2" s="1"/>
  <c r="O29" i="2" s="1"/>
  <c r="K30" i="2"/>
  <c r="M30" i="2" s="1"/>
  <c r="O30" i="2" s="1"/>
  <c r="Y30" i="2" s="1"/>
  <c r="AE30" i="2" s="1"/>
  <c r="K31" i="2"/>
  <c r="M31" i="2" s="1"/>
  <c r="O31" i="2" s="1"/>
  <c r="K32" i="2"/>
  <c r="M32" i="2" s="1"/>
  <c r="K33" i="2"/>
  <c r="M33" i="2" s="1"/>
  <c r="O33" i="2" s="1"/>
  <c r="K34" i="2"/>
  <c r="M34" i="2" s="1"/>
  <c r="K35" i="2"/>
  <c r="M35" i="2" s="1"/>
  <c r="K36" i="2"/>
  <c r="M36" i="2" s="1"/>
  <c r="K37" i="2"/>
  <c r="K38" i="2"/>
  <c r="M38" i="2" s="1"/>
  <c r="O38" i="2" s="1"/>
  <c r="K39" i="2"/>
  <c r="M39" i="2" s="1"/>
  <c r="O39" i="2" s="1"/>
  <c r="K40" i="2"/>
  <c r="M40" i="2" s="1"/>
  <c r="O40" i="2" s="1"/>
  <c r="K41" i="2"/>
  <c r="M41" i="2" s="1"/>
  <c r="O41" i="2" s="1"/>
  <c r="K42" i="2"/>
  <c r="M42" i="2" s="1"/>
  <c r="O42" i="2" s="1"/>
  <c r="K43" i="2"/>
  <c r="M43" i="2" s="1"/>
  <c r="O43" i="2" s="1"/>
  <c r="Y43" i="2" s="1"/>
  <c r="K44" i="2"/>
  <c r="K45" i="2"/>
  <c r="M45" i="2" s="1"/>
  <c r="O45" i="2" s="1"/>
  <c r="K46" i="2"/>
  <c r="M46" i="2" s="1"/>
  <c r="K47" i="2"/>
  <c r="M47" i="2" s="1"/>
  <c r="K48" i="2"/>
  <c r="M48" i="2" s="1"/>
  <c r="O48" i="2" s="1"/>
  <c r="K49" i="2"/>
  <c r="M49" i="2" s="1"/>
  <c r="O49" i="2" s="1"/>
  <c r="K50" i="2"/>
  <c r="M50" i="2" s="1"/>
  <c r="K51" i="2"/>
  <c r="M51" i="2" s="1"/>
  <c r="K52" i="2"/>
  <c r="M52" i="2" s="1"/>
  <c r="K53" i="2"/>
  <c r="M53" i="2" s="1"/>
  <c r="K54" i="2"/>
  <c r="M54" i="2" s="1"/>
  <c r="O54" i="2" s="1"/>
  <c r="K55" i="2"/>
  <c r="M55" i="2" s="1"/>
  <c r="O55" i="2" s="1"/>
  <c r="K56" i="2"/>
  <c r="M56" i="2" s="1"/>
  <c r="O56" i="2" s="1"/>
  <c r="K57" i="2"/>
  <c r="M57" i="2" s="1"/>
  <c r="O57" i="2" s="1"/>
  <c r="K58" i="2"/>
  <c r="M58" i="2" s="1"/>
  <c r="K59" i="2"/>
  <c r="M59" i="2" s="1"/>
  <c r="O59" i="2" s="1"/>
  <c r="K60" i="2"/>
  <c r="M60" i="2" s="1"/>
  <c r="O60" i="2" s="1"/>
  <c r="K61" i="2"/>
  <c r="M61" i="2" s="1"/>
  <c r="O61" i="2" s="1"/>
  <c r="K62" i="2"/>
  <c r="M62" i="2" s="1"/>
  <c r="O62" i="2" s="1"/>
  <c r="K63" i="2"/>
  <c r="M63" i="2" s="1"/>
  <c r="O63" i="2" s="1"/>
  <c r="K64" i="2"/>
  <c r="M64" i="2" s="1"/>
  <c r="O64" i="2" s="1"/>
  <c r="K65" i="2"/>
  <c r="M65" i="2" s="1"/>
  <c r="O65" i="2" s="1"/>
  <c r="K66" i="2"/>
  <c r="M66" i="2" s="1"/>
  <c r="K67" i="2"/>
  <c r="M67" i="2" s="1"/>
  <c r="K68" i="2"/>
  <c r="M68" i="2" s="1"/>
  <c r="O68" i="2" s="1"/>
  <c r="K69" i="2"/>
  <c r="M69" i="2" s="1"/>
  <c r="O69" i="2" s="1"/>
  <c r="K70" i="2"/>
  <c r="M70" i="2" s="1"/>
  <c r="O70" i="2" s="1"/>
  <c r="Y70" i="2" s="1"/>
  <c r="AE70" i="2" s="1"/>
  <c r="K71" i="2"/>
  <c r="M71" i="2" s="1"/>
  <c r="K72" i="2"/>
  <c r="M72" i="2" s="1"/>
  <c r="O72" i="2" s="1"/>
  <c r="K73" i="2"/>
  <c r="M73" i="2" s="1"/>
  <c r="K74" i="2"/>
  <c r="M74" i="2" s="1"/>
  <c r="O74" i="2" s="1"/>
  <c r="K75" i="2"/>
  <c r="M75" i="2" s="1"/>
  <c r="K76" i="2"/>
  <c r="M76" i="2" s="1"/>
  <c r="K77" i="2"/>
  <c r="M77" i="2" s="1"/>
  <c r="K78" i="2"/>
  <c r="M78" i="2" s="1"/>
  <c r="O78" i="2" s="1"/>
  <c r="K79" i="2"/>
  <c r="M79" i="2" s="1"/>
  <c r="M80" i="2"/>
  <c r="O80" i="2" s="1"/>
  <c r="K81" i="2"/>
  <c r="K82" i="2"/>
  <c r="M82" i="2" s="1"/>
  <c r="K83" i="2"/>
  <c r="M83" i="2" s="1"/>
  <c r="K84" i="2"/>
  <c r="M84" i="2" s="1"/>
  <c r="O84" i="2" s="1"/>
  <c r="Y84" i="2" s="1"/>
  <c r="AE84" i="2" s="1"/>
  <c r="K85" i="2"/>
  <c r="M85" i="2" s="1"/>
  <c r="O85" i="2" s="1"/>
  <c r="K86" i="2"/>
  <c r="M86" i="2" s="1"/>
  <c r="O86" i="2" s="1"/>
  <c r="K87" i="2"/>
  <c r="M87" i="2" s="1"/>
  <c r="O87" i="2" s="1"/>
  <c r="Y87" i="2" s="1"/>
  <c r="AE87" i="2" s="1"/>
  <c r="K88" i="2"/>
  <c r="M88" i="2" s="1"/>
  <c r="O88" i="2" s="1"/>
  <c r="K89" i="2"/>
  <c r="M89" i="2" s="1"/>
  <c r="O89" i="2" s="1"/>
  <c r="K90" i="2"/>
  <c r="M90" i="2" s="1"/>
  <c r="O90" i="2" s="1"/>
  <c r="K91" i="2"/>
  <c r="M91" i="2" s="1"/>
  <c r="O91" i="2" s="1"/>
  <c r="K92" i="2"/>
  <c r="M92" i="2" s="1"/>
  <c r="K93" i="2"/>
  <c r="M93" i="2" s="1"/>
  <c r="O93" i="2" s="1"/>
  <c r="K94" i="2"/>
  <c r="M94" i="2" s="1"/>
  <c r="O94" i="2" s="1"/>
  <c r="K95" i="2"/>
  <c r="M95" i="2" s="1"/>
  <c r="O95" i="2" s="1"/>
  <c r="K96" i="2"/>
  <c r="M96" i="2" s="1"/>
  <c r="O96" i="2" s="1"/>
  <c r="K97" i="2"/>
  <c r="M97" i="2" s="1"/>
  <c r="O97" i="2" s="1"/>
  <c r="K98" i="2"/>
  <c r="M98" i="2" s="1"/>
  <c r="O98" i="2" s="1"/>
  <c r="K99" i="2"/>
  <c r="M99" i="2" s="1"/>
  <c r="K100" i="2"/>
  <c r="M100" i="2" s="1"/>
  <c r="K101" i="2"/>
  <c r="M101" i="2" s="1"/>
  <c r="O101" i="2" s="1"/>
  <c r="K102" i="2"/>
  <c r="M102" i="2" s="1"/>
  <c r="O102" i="2" s="1"/>
  <c r="Y102" i="2" s="1"/>
  <c r="AE102" i="2" s="1"/>
  <c r="K103" i="2"/>
  <c r="M103" i="2" s="1"/>
  <c r="O103" i="2" s="1"/>
  <c r="K104" i="2"/>
  <c r="M104" i="2" s="1"/>
  <c r="O104" i="2" s="1"/>
  <c r="K105" i="2"/>
  <c r="M105" i="2" s="1"/>
  <c r="O105" i="2" s="1"/>
  <c r="K106" i="2"/>
  <c r="M106" i="2" s="1"/>
  <c r="O106" i="2" s="1"/>
  <c r="Y106" i="2" s="1"/>
  <c r="AE106" i="2" s="1"/>
  <c r="K107" i="2"/>
  <c r="M107" i="2" s="1"/>
  <c r="O107" i="2" s="1"/>
  <c r="K108" i="2"/>
  <c r="M108" i="2" s="1"/>
  <c r="O108" i="2" s="1"/>
  <c r="K109" i="2"/>
  <c r="M109" i="2" s="1"/>
  <c r="K110" i="2"/>
  <c r="M110" i="2" s="1"/>
  <c r="K111" i="2"/>
  <c r="M111" i="2" s="1"/>
  <c r="K112" i="2"/>
  <c r="M112" i="2" s="1"/>
  <c r="K113" i="2"/>
  <c r="M113" i="2" s="1"/>
  <c r="K114" i="2"/>
  <c r="M114" i="2" s="1"/>
  <c r="K115" i="2"/>
  <c r="M115" i="2" s="1"/>
  <c r="K116" i="2"/>
  <c r="M116" i="2" s="1"/>
  <c r="K117" i="2"/>
  <c r="M117" i="2" s="1"/>
  <c r="O117" i="2" s="1"/>
  <c r="K118" i="2"/>
  <c r="M118" i="2" s="1"/>
  <c r="K119" i="2"/>
  <c r="M119" i="2" s="1"/>
  <c r="K120" i="2"/>
  <c r="M120" i="2" s="1"/>
  <c r="O120" i="2" s="1"/>
  <c r="K121" i="2"/>
  <c r="M121" i="2" s="1"/>
  <c r="O121" i="2" s="1"/>
  <c r="K122" i="2"/>
  <c r="M122" i="2" s="1"/>
  <c r="K123" i="2"/>
  <c r="M123" i="2" s="1"/>
  <c r="O123" i="2" s="1"/>
  <c r="K124" i="2"/>
  <c r="M124" i="2" s="1"/>
  <c r="O124" i="2" s="1"/>
  <c r="K125" i="2"/>
  <c r="M125" i="2" s="1"/>
  <c r="O125" i="2" s="1"/>
  <c r="K126" i="2"/>
  <c r="M126" i="2" s="1"/>
  <c r="O126" i="2" s="1"/>
  <c r="K127" i="2"/>
  <c r="M127" i="2" s="1"/>
  <c r="K128" i="2"/>
  <c r="M128" i="2" s="1"/>
  <c r="O128" i="2" s="1"/>
  <c r="K129" i="2"/>
  <c r="M129" i="2" s="1"/>
  <c r="O129" i="2" s="1"/>
  <c r="K130" i="2"/>
  <c r="M130" i="2" s="1"/>
  <c r="K131" i="2"/>
  <c r="M131" i="2" s="1"/>
  <c r="K132" i="2"/>
  <c r="M132" i="2" s="1"/>
  <c r="K133" i="2"/>
  <c r="M133" i="2" s="1"/>
  <c r="O133" i="2" s="1"/>
  <c r="K134" i="2"/>
  <c r="M134" i="2" s="1"/>
  <c r="O134" i="2" s="1"/>
  <c r="K135" i="2"/>
  <c r="M135" i="2" s="1"/>
  <c r="K136" i="2"/>
  <c r="M136" i="2" s="1"/>
  <c r="K137" i="2"/>
  <c r="K138" i="2"/>
  <c r="M138" i="2" s="1"/>
  <c r="K139" i="2"/>
  <c r="M139" i="2" s="1"/>
  <c r="O139" i="2" s="1"/>
  <c r="K140" i="2"/>
  <c r="M140" i="2" s="1"/>
  <c r="K141" i="2"/>
  <c r="M141" i="2" s="1"/>
  <c r="O141" i="2" s="1"/>
  <c r="K142" i="2"/>
  <c r="M142" i="2" s="1"/>
  <c r="O142" i="2" s="1"/>
  <c r="K143" i="2"/>
  <c r="M143" i="2" s="1"/>
  <c r="K144" i="2"/>
  <c r="M144" i="2" s="1"/>
  <c r="K145" i="2"/>
  <c r="M145" i="2" s="1"/>
  <c r="K146" i="2"/>
  <c r="M146" i="2" s="1"/>
  <c r="K147" i="2"/>
  <c r="M147" i="2" s="1"/>
  <c r="K148" i="2"/>
  <c r="M148" i="2" s="1"/>
  <c r="K149" i="2"/>
  <c r="M149" i="2" s="1"/>
  <c r="K150" i="2"/>
  <c r="M150" i="2" s="1"/>
  <c r="K151" i="2"/>
  <c r="M151" i="2" s="1"/>
  <c r="O151" i="2" s="1"/>
  <c r="K152" i="2"/>
  <c r="M152" i="2" s="1"/>
  <c r="O152" i="2" s="1"/>
  <c r="K153" i="2"/>
  <c r="M153" i="2" s="1"/>
  <c r="O153" i="2" s="1"/>
  <c r="Y153" i="2" s="1"/>
  <c r="K154" i="2"/>
  <c r="M154" i="2" s="1"/>
  <c r="K155" i="2"/>
  <c r="M155" i="2" s="1"/>
  <c r="K156" i="2"/>
  <c r="M156" i="2" s="1"/>
  <c r="K157" i="2"/>
  <c r="M157" i="2" s="1"/>
  <c r="O157" i="2" s="1"/>
  <c r="K158" i="2"/>
  <c r="M158" i="2" s="1"/>
  <c r="K159" i="2"/>
  <c r="M159" i="2" s="1"/>
  <c r="K160" i="2"/>
  <c r="M160" i="2" s="1"/>
  <c r="O160" i="2" s="1"/>
  <c r="K161" i="2"/>
  <c r="M161" i="2" s="1"/>
  <c r="K162" i="2"/>
  <c r="M162" i="2" s="1"/>
  <c r="K163" i="2"/>
  <c r="M163" i="2" s="1"/>
  <c r="K164" i="2"/>
  <c r="M164" i="2" s="1"/>
  <c r="K165" i="2"/>
  <c r="M165" i="2" s="1"/>
  <c r="O165" i="2" s="1"/>
  <c r="K166" i="2"/>
  <c r="M166" i="2" s="1"/>
  <c r="K167" i="2"/>
  <c r="M167" i="2" s="1"/>
  <c r="K168" i="2"/>
  <c r="M168" i="2" s="1"/>
  <c r="K169" i="2"/>
  <c r="M169" i="2" s="1"/>
  <c r="O169" i="2" s="1"/>
  <c r="K170" i="2"/>
  <c r="M170" i="2" s="1"/>
  <c r="K171" i="2"/>
  <c r="M171" i="2" s="1"/>
  <c r="K172" i="2"/>
  <c r="M172" i="2" s="1"/>
  <c r="O172" i="2" s="1"/>
  <c r="K173" i="2"/>
  <c r="M173" i="2" s="1"/>
  <c r="O173" i="2" s="1"/>
  <c r="K174" i="2"/>
  <c r="M174" i="2" s="1"/>
  <c r="O174" i="2" s="1"/>
  <c r="K175" i="2"/>
  <c r="M175" i="2" s="1"/>
  <c r="O175" i="2" s="1"/>
  <c r="K176" i="2"/>
  <c r="M176" i="2" s="1"/>
  <c r="K177" i="2"/>
  <c r="M177" i="2" s="1"/>
  <c r="K178" i="2"/>
  <c r="M178" i="2" s="1"/>
  <c r="K179" i="2"/>
  <c r="M179" i="2" s="1"/>
  <c r="K180" i="2"/>
  <c r="M180" i="2" s="1"/>
  <c r="K181" i="2"/>
  <c r="M181" i="2" s="1"/>
  <c r="O181" i="2" s="1"/>
  <c r="K182" i="2"/>
  <c r="M182" i="2" s="1"/>
  <c r="O182" i="2" s="1"/>
  <c r="K183" i="2"/>
  <c r="M183" i="2" s="1"/>
  <c r="K184" i="2"/>
  <c r="M184" i="2" s="1"/>
  <c r="K185" i="2"/>
  <c r="M185" i="2" s="1"/>
  <c r="O185" i="2" s="1"/>
  <c r="K186" i="2"/>
  <c r="M186" i="2" s="1"/>
  <c r="K187" i="2"/>
  <c r="M187" i="2" s="1"/>
  <c r="O187" i="2" s="1"/>
  <c r="K188" i="2"/>
  <c r="M188" i="2" s="1"/>
  <c r="K189" i="2"/>
  <c r="M189" i="2" s="1"/>
  <c r="K190" i="2"/>
  <c r="M190" i="2" s="1"/>
  <c r="O190" i="2" s="1"/>
  <c r="K191" i="2"/>
  <c r="M191" i="2" s="1"/>
  <c r="K192" i="2"/>
  <c r="M192" i="2" s="1"/>
  <c r="O192" i="2" s="1"/>
  <c r="K193" i="2"/>
  <c r="M193" i="2" s="1"/>
  <c r="O193" i="2" s="1"/>
  <c r="K194" i="2"/>
  <c r="M194" i="2" s="1"/>
  <c r="K195" i="2"/>
  <c r="M195" i="2" s="1"/>
  <c r="K196" i="2"/>
  <c r="M196" i="2" s="1"/>
  <c r="K197" i="2"/>
  <c r="M197" i="2" s="1"/>
  <c r="O197" i="2" s="1"/>
  <c r="K198" i="2"/>
  <c r="M198" i="2" s="1"/>
  <c r="K199" i="2"/>
  <c r="M199" i="2" s="1"/>
  <c r="K200" i="2"/>
  <c r="M200" i="2" s="1"/>
  <c r="K201" i="2"/>
  <c r="M201" i="2" s="1"/>
  <c r="O201" i="2" s="1"/>
  <c r="K202" i="2"/>
  <c r="M202" i="2" s="1"/>
  <c r="K203" i="2"/>
  <c r="M203" i="2" s="1"/>
  <c r="K204" i="2"/>
  <c r="M204" i="2" s="1"/>
  <c r="O204" i="2" s="1"/>
  <c r="K205" i="2"/>
  <c r="M205" i="2" s="1"/>
  <c r="O205" i="2" s="1"/>
  <c r="K206" i="2"/>
  <c r="M206" i="2" s="1"/>
  <c r="O206" i="2" s="1"/>
  <c r="K207" i="2"/>
  <c r="M207" i="2" s="1"/>
  <c r="K208" i="2"/>
  <c r="M208" i="2" s="1"/>
  <c r="K209" i="2"/>
  <c r="M209" i="2" s="1"/>
  <c r="K210" i="2"/>
  <c r="M210" i="2" s="1"/>
  <c r="K211" i="2"/>
  <c r="M211" i="2" s="1"/>
  <c r="K212" i="2"/>
  <c r="M212" i="2" s="1"/>
  <c r="K213" i="2"/>
  <c r="M213" i="2" s="1"/>
  <c r="K214" i="2"/>
  <c r="M214" i="2" s="1"/>
  <c r="K215" i="2"/>
  <c r="M215" i="2" s="1"/>
  <c r="K216" i="2"/>
  <c r="M216" i="2" s="1"/>
  <c r="K217" i="2"/>
  <c r="M217" i="2" s="1"/>
  <c r="K218" i="2"/>
  <c r="M218" i="2" s="1"/>
  <c r="K219" i="2"/>
  <c r="M219" i="2" s="1"/>
  <c r="K220" i="2"/>
  <c r="M220" i="2" s="1"/>
  <c r="O220" i="2" s="1"/>
  <c r="K221" i="2"/>
  <c r="M221" i="2" s="1"/>
  <c r="K222" i="2"/>
  <c r="M222" i="2" s="1"/>
  <c r="K223" i="2"/>
  <c r="M223" i="2" s="1"/>
  <c r="K224" i="2"/>
  <c r="M224" i="2" s="1"/>
  <c r="K225" i="2"/>
  <c r="M225" i="2" s="1"/>
  <c r="O225" i="2" s="1"/>
  <c r="K226" i="2"/>
  <c r="M226" i="2" s="1"/>
  <c r="K227" i="2"/>
  <c r="M227" i="2" s="1"/>
  <c r="O227" i="2" s="1"/>
  <c r="K228" i="2"/>
  <c r="M228" i="2" s="1"/>
  <c r="K229" i="2"/>
  <c r="M229" i="2" s="1"/>
  <c r="K230" i="2"/>
  <c r="M230" i="2" s="1"/>
  <c r="K231" i="2"/>
  <c r="M231" i="2" s="1"/>
  <c r="K232" i="2"/>
  <c r="M232" i="2" s="1"/>
  <c r="K233" i="2"/>
  <c r="M233" i="2" s="1"/>
  <c r="K4" i="2"/>
  <c r="M4" i="2" s="1"/>
  <c r="M137" i="2"/>
  <c r="M81" i="2"/>
  <c r="O81" i="2" s="1"/>
  <c r="M44" i="2"/>
  <c r="O44" i="2" s="1"/>
  <c r="M37" i="2"/>
  <c r="O37" i="2" s="1"/>
  <c r="M17" i="2"/>
  <c r="O17" i="2" s="1"/>
  <c r="M6" i="2"/>
  <c r="O6" i="2" s="1"/>
  <c r="Z10" i="2" l="1"/>
  <c r="AE10" i="2"/>
  <c r="AB43" i="2"/>
  <c r="AE43" i="2"/>
  <c r="AB153" i="2"/>
  <c r="AE153" i="2"/>
  <c r="AC5" i="2"/>
  <c r="AE5" i="2"/>
  <c r="O156" i="2"/>
  <c r="Y156" i="2" s="1"/>
  <c r="AE156" i="2" s="1"/>
  <c r="Y33" i="2"/>
  <c r="AE33" i="2" s="1"/>
  <c r="Y65" i="2"/>
  <c r="Y152" i="2"/>
  <c r="Y120" i="2"/>
  <c r="Y104" i="2"/>
  <c r="O149" i="2"/>
  <c r="Y149" i="2" s="1"/>
  <c r="AE149" i="2" s="1"/>
  <c r="Y23" i="2"/>
  <c r="AE23" i="2" s="1"/>
  <c r="Y182" i="2"/>
  <c r="Y134" i="2"/>
  <c r="Y86" i="2"/>
  <c r="Y181" i="2"/>
  <c r="Y37" i="2"/>
  <c r="AC37" i="2" s="1"/>
  <c r="Y193" i="2"/>
  <c r="AC193" i="2" s="1"/>
  <c r="O32" i="2"/>
  <c r="AC70" i="2"/>
  <c r="Z70" i="2"/>
  <c r="Y90" i="2"/>
  <c r="O7" i="2"/>
  <c r="Y7" i="2" s="1"/>
  <c r="O118" i="2"/>
  <c r="Y74" i="2"/>
  <c r="AD74" i="2" s="1"/>
  <c r="Y227" i="2"/>
  <c r="Y172" i="2"/>
  <c r="Y48" i="2"/>
  <c r="Y174" i="2"/>
  <c r="Y126" i="2"/>
  <c r="Y94" i="2"/>
  <c r="Y160" i="2"/>
  <c r="Y26" i="2"/>
  <c r="Y96" i="2"/>
  <c r="Y225" i="2"/>
  <c r="Y60" i="2"/>
  <c r="Y12" i="2"/>
  <c r="Y81" i="2"/>
  <c r="AD81" i="2" s="1"/>
  <c r="Y190" i="2"/>
  <c r="Y142" i="2"/>
  <c r="AE142" i="2" s="1"/>
  <c r="AB126" i="2"/>
  <c r="AA14" i="2"/>
  <c r="Z14" i="2"/>
  <c r="AB14" i="2"/>
  <c r="AC14" i="2"/>
  <c r="AD14" i="2"/>
  <c r="O221" i="2"/>
  <c r="Y205" i="2"/>
  <c r="AE205" i="2" s="1"/>
  <c r="Y173" i="2"/>
  <c r="AE173" i="2" s="1"/>
  <c r="Y141" i="2"/>
  <c r="Y125" i="2"/>
  <c r="AE125" i="2" s="1"/>
  <c r="Y93" i="2"/>
  <c r="AE93" i="2" s="1"/>
  <c r="Y45" i="2"/>
  <c r="Y13" i="2"/>
  <c r="AE13" i="2" s="1"/>
  <c r="Y63" i="2"/>
  <c r="Y15" i="2"/>
  <c r="AB15" i="2" s="1"/>
  <c r="AC181" i="2"/>
  <c r="Y206" i="2"/>
  <c r="AE206" i="2" s="1"/>
  <c r="O46" i="2"/>
  <c r="Y46" i="2" s="1"/>
  <c r="AE46" i="2" s="1"/>
  <c r="Y204" i="2"/>
  <c r="AE204" i="2" s="1"/>
  <c r="Y175" i="2"/>
  <c r="Y139" i="2"/>
  <c r="Z139" i="2" s="1"/>
  <c r="Y107" i="2"/>
  <c r="Y91" i="2"/>
  <c r="Y59" i="2"/>
  <c r="Y27" i="2"/>
  <c r="AE27" i="2" s="1"/>
  <c r="Y78" i="2"/>
  <c r="AE78" i="2" s="1"/>
  <c r="AD30" i="2"/>
  <c r="Z30" i="2"/>
  <c r="AA30" i="2"/>
  <c r="AB30" i="2"/>
  <c r="AC30" i="2"/>
  <c r="AA134" i="2"/>
  <c r="AC134" i="2"/>
  <c r="Y185" i="2"/>
  <c r="AE185" i="2" s="1"/>
  <c r="Y169" i="2"/>
  <c r="AE169" i="2" s="1"/>
  <c r="Y89" i="2"/>
  <c r="O73" i="2"/>
  <c r="Y57" i="2"/>
  <c r="AE57" i="2" s="1"/>
  <c r="Y41" i="2"/>
  <c r="AE41" i="2" s="1"/>
  <c r="Y25" i="2"/>
  <c r="AE25" i="2" s="1"/>
  <c r="Z102" i="2"/>
  <c r="AA102" i="2"/>
  <c r="AB102" i="2"/>
  <c r="AC102" i="2"/>
  <c r="AD102" i="2"/>
  <c r="Y88" i="2"/>
  <c r="AE88" i="2" s="1"/>
  <c r="Y72" i="2"/>
  <c r="AE72" i="2" s="1"/>
  <c r="AD33" i="2"/>
  <c r="AA33" i="2"/>
  <c r="AB33" i="2"/>
  <c r="AC33" i="2"/>
  <c r="Y103" i="2"/>
  <c r="Y128" i="2"/>
  <c r="AE128" i="2" s="1"/>
  <c r="Y157" i="2"/>
  <c r="Y62" i="2"/>
  <c r="AE62" i="2" s="1"/>
  <c r="Y40" i="2"/>
  <c r="AE40" i="2" s="1"/>
  <c r="Y105" i="2"/>
  <c r="AE105" i="2" s="1"/>
  <c r="Y133" i="2"/>
  <c r="AD153" i="2"/>
  <c r="Y39" i="2"/>
  <c r="AE39" i="2" s="1"/>
  <c r="AC153" i="2"/>
  <c r="Y97" i="2"/>
  <c r="AE97" i="2" s="1"/>
  <c r="Y61" i="2"/>
  <c r="Y123" i="2"/>
  <c r="Y21" i="2"/>
  <c r="Z87" i="2"/>
  <c r="AA87" i="2"/>
  <c r="Y165" i="2"/>
  <c r="AE165" i="2" s="1"/>
  <c r="AA153" i="2"/>
  <c r="Y38" i="2"/>
  <c r="AE38" i="2" s="1"/>
  <c r="Y31" i="2"/>
  <c r="Y11" i="2"/>
  <c r="AE11" i="2" s="1"/>
  <c r="Y44" i="2"/>
  <c r="AE44" i="2" s="1"/>
  <c r="Y85" i="2"/>
  <c r="Y95" i="2"/>
  <c r="AE95" i="2" s="1"/>
  <c r="AD10" i="2"/>
  <c r="Y68" i="2"/>
  <c r="AE68" i="2" s="1"/>
  <c r="Y220" i="2"/>
  <c r="AE220" i="2" s="1"/>
  <c r="AB87" i="2"/>
  <c r="Y187" i="2"/>
  <c r="Z5" i="2"/>
  <c r="AB5" i="2"/>
  <c r="AD5" i="2"/>
  <c r="Y117" i="2"/>
  <c r="AE117" i="2" s="1"/>
  <c r="Y197" i="2"/>
  <c r="AE197" i="2" s="1"/>
  <c r="Y17" i="2"/>
  <c r="AE17" i="2" s="1"/>
  <c r="Y54" i="2"/>
  <c r="AE54" i="2" s="1"/>
  <c r="Y22" i="2"/>
  <c r="AE22" i="2" s="1"/>
  <c r="Z153" i="2"/>
  <c r="Y124" i="2"/>
  <c r="Y6" i="2"/>
  <c r="AE6" i="2" s="1"/>
  <c r="Y42" i="2"/>
  <c r="Y108" i="2"/>
  <c r="AE108" i="2" s="1"/>
  <c r="Y69" i="2"/>
  <c r="Y49" i="2"/>
  <c r="AE49" i="2" s="1"/>
  <c r="Y151" i="2"/>
  <c r="Y129" i="2"/>
  <c r="AB86" i="2"/>
  <c r="Z182" i="2"/>
  <c r="AC182" i="2"/>
  <c r="AD182" i="2"/>
  <c r="AA182" i="2"/>
  <c r="Y28" i="2"/>
  <c r="AE28" i="2" s="1"/>
  <c r="Y192" i="2"/>
  <c r="AE192" i="2" s="1"/>
  <c r="Y101" i="2"/>
  <c r="Y121" i="2"/>
  <c r="AE121" i="2" s="1"/>
  <c r="Y64" i="2"/>
  <c r="AE64" i="2" s="1"/>
  <c r="AA70" i="2"/>
  <c r="AB70" i="2"/>
  <c r="AD70" i="2"/>
  <c r="Y56" i="2"/>
  <c r="AE56" i="2" s="1"/>
  <c r="Y29" i="2"/>
  <c r="Y201" i="2"/>
  <c r="AE201" i="2" s="1"/>
  <c r="Y98" i="2"/>
  <c r="Y55" i="2"/>
  <c r="AD193" i="2"/>
  <c r="Y80" i="2"/>
  <c r="AE80" i="2" s="1"/>
  <c r="AA174" i="2"/>
  <c r="AA106" i="2"/>
  <c r="AB106" i="2"/>
  <c r="AC106" i="2"/>
  <c r="Z43" i="2"/>
  <c r="AA43" i="2"/>
  <c r="AC43" i="2"/>
  <c r="AD43" i="2"/>
  <c r="AA10" i="2"/>
  <c r="AB10" i="2"/>
  <c r="AC10" i="2"/>
  <c r="AB81" i="2"/>
  <c r="AB193" i="2"/>
  <c r="AD174" i="2"/>
  <c r="AA193" i="2"/>
  <c r="AC174" i="2"/>
  <c r="AD106" i="2"/>
  <c r="AC87" i="2"/>
  <c r="AD87" i="2"/>
  <c r="AC139" i="2"/>
  <c r="Z106" i="2"/>
  <c r="AA205" i="2"/>
  <c r="AA181" i="2"/>
  <c r="AA37" i="2"/>
  <c r="AA13" i="2"/>
  <c r="AA5" i="2"/>
  <c r="O112" i="2"/>
  <c r="O92" i="2"/>
  <c r="Y92" i="2" s="1"/>
  <c r="AE92" i="2" s="1"/>
  <c r="O58" i="2"/>
  <c r="Y58" i="2" s="1"/>
  <c r="O75" i="2"/>
  <c r="O24" i="2"/>
  <c r="O8" i="2"/>
  <c r="Y8" i="2" s="1"/>
  <c r="AE8" i="2" s="1"/>
  <c r="O77" i="2"/>
  <c r="Y77" i="2" s="1"/>
  <c r="AE77" i="2" s="1"/>
  <c r="O135" i="2"/>
  <c r="Y135" i="2" s="1"/>
  <c r="O209" i="2"/>
  <c r="O136" i="2"/>
  <c r="Y136" i="2" s="1"/>
  <c r="AE136" i="2" s="1"/>
  <c r="O214" i="2"/>
  <c r="O47" i="2"/>
  <c r="O137" i="2"/>
  <c r="Y137" i="2" s="1"/>
  <c r="O188" i="2"/>
  <c r="O166" i="2"/>
  <c r="O189" i="2"/>
  <c r="Y189" i="2" s="1"/>
  <c r="O71" i="2"/>
  <c r="O144" i="2"/>
  <c r="O224" i="2"/>
  <c r="Y224" i="2" s="1"/>
  <c r="AE224" i="2" s="1"/>
  <c r="O131" i="2"/>
  <c r="Y131" i="2" s="1"/>
  <c r="AE131" i="2" s="1"/>
  <c r="O99" i="2"/>
  <c r="O83" i="2"/>
  <c r="O35" i="2"/>
  <c r="Y35" i="2" s="1"/>
  <c r="O19" i="2"/>
  <c r="Y19" i="2" s="1"/>
  <c r="O178" i="2"/>
  <c r="Y178" i="2" s="1"/>
  <c r="O146" i="2"/>
  <c r="O130" i="2"/>
  <c r="Y130" i="2" s="1"/>
  <c r="AE130" i="2" s="1"/>
  <c r="O82" i="2"/>
  <c r="Y82" i="2" s="1"/>
  <c r="AE82" i="2" s="1"/>
  <c r="O66" i="2"/>
  <c r="O50" i="2"/>
  <c r="O34" i="2"/>
  <c r="O18" i="2"/>
  <c r="O159" i="2"/>
  <c r="O183" i="2"/>
  <c r="O229" i="2"/>
  <c r="Y229" i="2" s="1"/>
  <c r="O113" i="2"/>
  <c r="O140" i="2"/>
  <c r="O145" i="2"/>
  <c r="O176" i="2"/>
  <c r="Y176" i="2" s="1"/>
  <c r="AE176" i="2" s="1"/>
  <c r="O110" i="2"/>
  <c r="O147" i="2"/>
  <c r="O180" i="2"/>
  <c r="O164" i="2"/>
  <c r="O148" i="2"/>
  <c r="O116" i="2"/>
  <c r="Y116" i="2" s="1"/>
  <c r="O52" i="2"/>
  <c r="O36" i="2"/>
  <c r="O20" i="2"/>
  <c r="O226" i="2"/>
  <c r="O210" i="2"/>
  <c r="Y210" i="2" s="1"/>
  <c r="O162" i="2"/>
  <c r="Y162" i="2" s="1"/>
  <c r="AE162" i="2" s="1"/>
  <c r="O223" i="2"/>
  <c r="Y223" i="2" s="1"/>
  <c r="AE223" i="2" s="1"/>
  <c r="O143" i="2"/>
  <c r="Y143" i="2" s="1"/>
  <c r="O127" i="2"/>
  <c r="Y127" i="2" s="1"/>
  <c r="AE127" i="2" s="1"/>
  <c r="O111" i="2"/>
  <c r="Y111" i="2" s="1"/>
  <c r="AE111" i="2" s="1"/>
  <c r="O195" i="2"/>
  <c r="O222" i="2"/>
  <c r="O211" i="2"/>
  <c r="Y211" i="2" s="1"/>
  <c r="AE211" i="2" s="1"/>
  <c r="O163" i="2"/>
  <c r="O203" i="2"/>
  <c r="Y203" i="2" s="1"/>
  <c r="AE203" i="2" s="1"/>
  <c r="O202" i="2"/>
  <c r="O186" i="2"/>
  <c r="O138" i="2"/>
  <c r="Y138" i="2" s="1"/>
  <c r="AE138" i="2" s="1"/>
  <c r="O122" i="2"/>
  <c r="Y122" i="2" s="1"/>
  <c r="AE122" i="2" s="1"/>
  <c r="O67" i="2"/>
  <c r="O216" i="2"/>
  <c r="O200" i="2"/>
  <c r="Y200" i="2" s="1"/>
  <c r="AE200" i="2" s="1"/>
  <c r="O184" i="2"/>
  <c r="Y184" i="2" s="1"/>
  <c r="AE184" i="2" s="1"/>
  <c r="O199" i="2"/>
  <c r="O51" i="2"/>
  <c r="O150" i="2"/>
  <c r="Y150" i="2" s="1"/>
  <c r="AE150" i="2" s="1"/>
  <c r="O16" i="2"/>
  <c r="O53" i="2"/>
  <c r="Y53" i="2" s="1"/>
  <c r="O79" i="2"/>
  <c r="Y79" i="2" s="1"/>
  <c r="O168" i="2"/>
  <c r="Y168" i="2" s="1"/>
  <c r="AE168" i="2" s="1"/>
  <c r="O219" i="2"/>
  <c r="O161" i="2"/>
  <c r="O119" i="2"/>
  <c r="Y119" i="2" s="1"/>
  <c r="O9" i="2"/>
  <c r="O109" i="2"/>
  <c r="O191" i="2"/>
  <c r="Y191" i="2" s="1"/>
  <c r="AE191" i="2" s="1"/>
  <c r="O217" i="2"/>
  <c r="Y217" i="2" s="1"/>
  <c r="AE217" i="2" s="1"/>
  <c r="O208" i="2"/>
  <c r="O100" i="2"/>
  <c r="O218" i="2"/>
  <c r="Y218" i="2" s="1"/>
  <c r="AE218" i="2" s="1"/>
  <c r="O177" i="2"/>
  <c r="Y177" i="2" s="1"/>
  <c r="O132" i="2"/>
  <c r="O154" i="2"/>
  <c r="O155" i="2"/>
  <c r="O228" i="2"/>
  <c r="Y228" i="2" s="1"/>
  <c r="AE228" i="2" s="1"/>
  <c r="O170" i="2"/>
  <c r="Y170" i="2" s="1"/>
  <c r="O194" i="2"/>
  <c r="O171" i="2"/>
  <c r="O196" i="2"/>
  <c r="O212" i="2"/>
  <c r="O233" i="2"/>
  <c r="O232" i="2"/>
  <c r="O167" i="2"/>
  <c r="Y167" i="2" s="1"/>
  <c r="O213" i="2"/>
  <c r="Y213" i="2" s="1"/>
  <c r="AE213" i="2" s="1"/>
  <c r="O231" i="2"/>
  <c r="Y231" i="2" s="1"/>
  <c r="AE231" i="2" s="1"/>
  <c r="O115" i="2"/>
  <c r="O207" i="2"/>
  <c r="Y207" i="2" s="1"/>
  <c r="O230" i="2"/>
  <c r="Y230" i="2" s="1"/>
  <c r="O76" i="2"/>
  <c r="Y76" i="2" s="1"/>
  <c r="AE76" i="2" s="1"/>
  <c r="O198" i="2"/>
  <c r="Y198" i="2" s="1"/>
  <c r="AE198" i="2" s="1"/>
  <c r="O179" i="2"/>
  <c r="Y179" i="2" s="1"/>
  <c r="AE179" i="2" s="1"/>
  <c r="O114" i="2"/>
  <c r="Y114" i="2" s="1"/>
  <c r="O215" i="2"/>
  <c r="O4" i="2"/>
  <c r="O158" i="2"/>
  <c r="Y158" i="2" s="1"/>
  <c r="AE158" i="2" s="1"/>
  <c r="AC81" i="2" l="1"/>
  <c r="Z33" i="2"/>
  <c r="AB63" i="2"/>
  <c r="AE63" i="2"/>
  <c r="AC190" i="2"/>
  <c r="AE190" i="2"/>
  <c r="AC227" i="2"/>
  <c r="AE227" i="2"/>
  <c r="AA104" i="2"/>
  <c r="AE104" i="2"/>
  <c r="AA42" i="2"/>
  <c r="AE42" i="2"/>
  <c r="Z137" i="2"/>
  <c r="AE137" i="2"/>
  <c r="AA23" i="2"/>
  <c r="Z74" i="2"/>
  <c r="AE74" i="2"/>
  <c r="AA120" i="2"/>
  <c r="AE120" i="2"/>
  <c r="AA114" i="2"/>
  <c r="AE114" i="2"/>
  <c r="AB170" i="2"/>
  <c r="AE170" i="2"/>
  <c r="AA101" i="2"/>
  <c r="AE101" i="2"/>
  <c r="AA133" i="2"/>
  <c r="AE133" i="2"/>
  <c r="AA45" i="2"/>
  <c r="AE45" i="2"/>
  <c r="Z23" i="2"/>
  <c r="Z152" i="2"/>
  <c r="AE152" i="2"/>
  <c r="AB23" i="2"/>
  <c r="AC7" i="2"/>
  <c r="AE7" i="2"/>
  <c r="AD65" i="2"/>
  <c r="AE65" i="2"/>
  <c r="AC15" i="2"/>
  <c r="AD124" i="2"/>
  <c r="AE124" i="2"/>
  <c r="AD79" i="2"/>
  <c r="AE79" i="2"/>
  <c r="AA53" i="2"/>
  <c r="AE53" i="2"/>
  <c r="AB178" i="2"/>
  <c r="AE178" i="2"/>
  <c r="AB227" i="2"/>
  <c r="AD31" i="2"/>
  <c r="AE31" i="2"/>
  <c r="AA81" i="2"/>
  <c r="AE81" i="2"/>
  <c r="Z90" i="2"/>
  <c r="AE90" i="2"/>
  <c r="AC172" i="2"/>
  <c r="AE172" i="2"/>
  <c r="Z35" i="2"/>
  <c r="AE35" i="2"/>
  <c r="AA157" i="2"/>
  <c r="AE157" i="2"/>
  <c r="Z59" i="2"/>
  <c r="AE59" i="2"/>
  <c r="AC60" i="2"/>
  <c r="AE60" i="2"/>
  <c r="AC135" i="2"/>
  <c r="AE135" i="2"/>
  <c r="AA141" i="2"/>
  <c r="AE141" i="2"/>
  <c r="AD207" i="2"/>
  <c r="AE207" i="2"/>
  <c r="AD177" i="2"/>
  <c r="AE177" i="2"/>
  <c r="AD63" i="2"/>
  <c r="Z55" i="2"/>
  <c r="AE55" i="2"/>
  <c r="AA91" i="2"/>
  <c r="AE91" i="2"/>
  <c r="Z225" i="2"/>
  <c r="AE225" i="2"/>
  <c r="AC143" i="2"/>
  <c r="AE143" i="2"/>
  <c r="AC63" i="2"/>
  <c r="AA98" i="2"/>
  <c r="AE98" i="2"/>
  <c r="AA103" i="2"/>
  <c r="AE103" i="2"/>
  <c r="Z107" i="2"/>
  <c r="AE107" i="2"/>
  <c r="AB96" i="2"/>
  <c r="AE96" i="2"/>
  <c r="Z193" i="2"/>
  <c r="AE193" i="2"/>
  <c r="AD116" i="2"/>
  <c r="AE116" i="2"/>
  <c r="AA190" i="2"/>
  <c r="AB139" i="2"/>
  <c r="AE139" i="2"/>
  <c r="AD26" i="2"/>
  <c r="AE26" i="2"/>
  <c r="Z37" i="2"/>
  <c r="AE37" i="2"/>
  <c r="Z15" i="2"/>
  <c r="AE15" i="2"/>
  <c r="AA229" i="2"/>
  <c r="AE229" i="2"/>
  <c r="Z58" i="2"/>
  <c r="AE58" i="2"/>
  <c r="AA129" i="2"/>
  <c r="AE129" i="2"/>
  <c r="AA21" i="2"/>
  <c r="AE21" i="2"/>
  <c r="AA89" i="2"/>
  <c r="AE89" i="2"/>
  <c r="AC175" i="2"/>
  <c r="AE175" i="2"/>
  <c r="AB160" i="2"/>
  <c r="AE160" i="2"/>
  <c r="Z181" i="2"/>
  <c r="AE181" i="2"/>
  <c r="AA48" i="2"/>
  <c r="AE48" i="2"/>
  <c r="AD230" i="2"/>
  <c r="AE230" i="2"/>
  <c r="AC167" i="2"/>
  <c r="AE167" i="2"/>
  <c r="AC210" i="2"/>
  <c r="AE210" i="2"/>
  <c r="AD227" i="2"/>
  <c r="AA29" i="2"/>
  <c r="AE29" i="2"/>
  <c r="AD151" i="2"/>
  <c r="AE151" i="2"/>
  <c r="AA187" i="2"/>
  <c r="AE187" i="2"/>
  <c r="AA123" i="2"/>
  <c r="AE123" i="2"/>
  <c r="Z94" i="2"/>
  <c r="AE94" i="2"/>
  <c r="Z86" i="2"/>
  <c r="AE86" i="2"/>
  <c r="AC119" i="2"/>
  <c r="AE119" i="2"/>
  <c r="AA85" i="2"/>
  <c r="AE85" i="2"/>
  <c r="Z19" i="2"/>
  <c r="AE19" i="2"/>
  <c r="AD23" i="2"/>
  <c r="AE61" i="2"/>
  <c r="Z61" i="2"/>
  <c r="AA61" i="2"/>
  <c r="AB61" i="2"/>
  <c r="AC61" i="2"/>
  <c r="AD61" i="2"/>
  <c r="Z126" i="2"/>
  <c r="AE126" i="2"/>
  <c r="AD134" i="2"/>
  <c r="AE134" i="2"/>
  <c r="AA12" i="2"/>
  <c r="AE12" i="2"/>
  <c r="AA189" i="2"/>
  <c r="AE189" i="2"/>
  <c r="AC23" i="2"/>
  <c r="Z227" i="2"/>
  <c r="AA69" i="2"/>
  <c r="AE69" i="2"/>
  <c r="AB174" i="2"/>
  <c r="AE174" i="2"/>
  <c r="AB182" i="2"/>
  <c r="AE182" i="2"/>
  <c r="AD181" i="2"/>
  <c r="Z12" i="2"/>
  <c r="Z134" i="2"/>
  <c r="AC12" i="2"/>
  <c r="Z103" i="2"/>
  <c r="AC95" i="2"/>
  <c r="AC42" i="2"/>
  <c r="AB42" i="2"/>
  <c r="AD12" i="2"/>
  <c r="AB134" i="2"/>
  <c r="AB12" i="2"/>
  <c r="Z84" i="2"/>
  <c r="AB181" i="2"/>
  <c r="AA86" i="2"/>
  <c r="AD86" i="2"/>
  <c r="AA197" i="2"/>
  <c r="AA15" i="2"/>
  <c r="Z91" i="2"/>
  <c r="AC86" i="2"/>
  <c r="AD15" i="2"/>
  <c r="AB190" i="2"/>
  <c r="Z81" i="2"/>
  <c r="AD95" i="2"/>
  <c r="AC26" i="2"/>
  <c r="AC126" i="2"/>
  <c r="AD175" i="2"/>
  <c r="AC151" i="2"/>
  <c r="AD129" i="2"/>
  <c r="AC31" i="2"/>
  <c r="AB124" i="2"/>
  <c r="AB26" i="2"/>
  <c r="AC124" i="2"/>
  <c r="AA26" i="2"/>
  <c r="AA149" i="2"/>
  <c r="Z123" i="2"/>
  <c r="AB7" i="2"/>
  <c r="AC120" i="2"/>
  <c r="AD27" i="2"/>
  <c r="AD7" i="2"/>
  <c r="AB120" i="2"/>
  <c r="AC27" i="2"/>
  <c r="AB152" i="2"/>
  <c r="AB27" i="2"/>
  <c r="AC89" i="2"/>
  <c r="AA27" i="2"/>
  <c r="Z27" i="2"/>
  <c r="AA96" i="2"/>
  <c r="AC169" i="2"/>
  <c r="Z120" i="2"/>
  <c r="AA225" i="2"/>
  <c r="AD104" i="2"/>
  <c r="AD169" i="2"/>
  <c r="AA55" i="2"/>
  <c r="AC104" i="2"/>
  <c r="AD90" i="2"/>
  <c r="AD91" i="2"/>
  <c r="AB104" i="2"/>
  <c r="AC90" i="2"/>
  <c r="Z104" i="2"/>
  <c r="Z26" i="2"/>
  <c r="AB90" i="2"/>
  <c r="AB169" i="2"/>
  <c r="AA90" i="2"/>
  <c r="Z96" i="2"/>
  <c r="AC225" i="2"/>
  <c r="AD96" i="2"/>
  <c r="AD120" i="2"/>
  <c r="AB225" i="2"/>
  <c r="AC96" i="2"/>
  <c r="AD225" i="2"/>
  <c r="AC187" i="2"/>
  <c r="AA152" i="2"/>
  <c r="Z160" i="2"/>
  <c r="AD126" i="2"/>
  <c r="AA160" i="2"/>
  <c r="AD94" i="2"/>
  <c r="AA93" i="2"/>
  <c r="AD152" i="2"/>
  <c r="AD160" i="2"/>
  <c r="AC160" i="2"/>
  <c r="AA125" i="2"/>
  <c r="AA107" i="2"/>
  <c r="AB55" i="2"/>
  <c r="AA139" i="2"/>
  <c r="AD39" i="2"/>
  <c r="AC129" i="2"/>
  <c r="AC39" i="2"/>
  <c r="AB129" i="2"/>
  <c r="AB187" i="2"/>
  <c r="AC98" i="2"/>
  <c r="AB37" i="2"/>
  <c r="AC152" i="2"/>
  <c r="AD37" i="2"/>
  <c r="AD139" i="2"/>
  <c r="AC74" i="2"/>
  <c r="AD55" i="2"/>
  <c r="Z129" i="2"/>
  <c r="AB74" i="2"/>
  <c r="AC55" i="2"/>
  <c r="AA74" i="2"/>
  <c r="AC65" i="2"/>
  <c r="AC94" i="2"/>
  <c r="Z48" i="2"/>
  <c r="AB65" i="2"/>
  <c r="AB94" i="2"/>
  <c r="AA65" i="2"/>
  <c r="AA94" i="2"/>
  <c r="Z65" i="2"/>
  <c r="Z174" i="2"/>
  <c r="AA126" i="2"/>
  <c r="AD48" i="2"/>
  <c r="AD172" i="2"/>
  <c r="AB172" i="2"/>
  <c r="AA172" i="2"/>
  <c r="Z172" i="2"/>
  <c r="AA35" i="2"/>
  <c r="AD137" i="2"/>
  <c r="AD103" i="2"/>
  <c r="AA58" i="2"/>
  <c r="AC103" i="2"/>
  <c r="AA178" i="2"/>
  <c r="AB103" i="2"/>
  <c r="Y32" i="2"/>
  <c r="AE32" i="2" s="1"/>
  <c r="AC48" i="2"/>
  <c r="AB48" i="2"/>
  <c r="AA173" i="2"/>
  <c r="Z60" i="2"/>
  <c r="AA116" i="2"/>
  <c r="AC178" i="2"/>
  <c r="AB58" i="2"/>
  <c r="AB98" i="2"/>
  <c r="AD58" i="2"/>
  <c r="AB137" i="2"/>
  <c r="AA7" i="2"/>
  <c r="Z7" i="2"/>
  <c r="AB60" i="2"/>
  <c r="AA117" i="2"/>
  <c r="AA60" i="2"/>
  <c r="AC19" i="2"/>
  <c r="Y118" i="2"/>
  <c r="AE118" i="2" s="1"/>
  <c r="AD60" i="2"/>
  <c r="AA227" i="2"/>
  <c r="AA59" i="2"/>
  <c r="Y183" i="2"/>
  <c r="AE183" i="2" s="1"/>
  <c r="Y66" i="2"/>
  <c r="AE66" i="2" s="1"/>
  <c r="Y83" i="2"/>
  <c r="AE83" i="2" s="1"/>
  <c r="Z191" i="2"/>
  <c r="AC191" i="2"/>
  <c r="AA191" i="2"/>
  <c r="AD191" i="2"/>
  <c r="AB191" i="2"/>
  <c r="AC176" i="2"/>
  <c r="AD176" i="2"/>
  <c r="Z176" i="2"/>
  <c r="AA176" i="2"/>
  <c r="AB176" i="2"/>
  <c r="Y233" i="2"/>
  <c r="AE233" i="2" s="1"/>
  <c r="Z165" i="2"/>
  <c r="AB165" i="2"/>
  <c r="AC165" i="2"/>
  <c r="AD165" i="2"/>
  <c r="AA165" i="2"/>
  <c r="Z54" i="2"/>
  <c r="AB54" i="2"/>
  <c r="AC54" i="2"/>
  <c r="AA54" i="2"/>
  <c r="AD54" i="2"/>
  <c r="Z11" i="2"/>
  <c r="AA11" i="2"/>
  <c r="AB11" i="2"/>
  <c r="AC11" i="2"/>
  <c r="AD11" i="2"/>
  <c r="Z213" i="2"/>
  <c r="AC213" i="2"/>
  <c r="AB213" i="2"/>
  <c r="AD213" i="2"/>
  <c r="AA213" i="2"/>
  <c r="Y195" i="2"/>
  <c r="AE195" i="2" s="1"/>
  <c r="Y148" i="2"/>
  <c r="AE148" i="2" s="1"/>
  <c r="Z207" i="2"/>
  <c r="AA207" i="2"/>
  <c r="AB207" i="2"/>
  <c r="AB177" i="2"/>
  <c r="Z177" i="2"/>
  <c r="Z162" i="2"/>
  <c r="AD162" i="2"/>
  <c r="Y99" i="2"/>
  <c r="AE99" i="2" s="1"/>
  <c r="AA135" i="2"/>
  <c r="AB135" i="2"/>
  <c r="Z135" i="2"/>
  <c r="Z92" i="2"/>
  <c r="AA92" i="2"/>
  <c r="AC92" i="2"/>
  <c r="AD92" i="2"/>
  <c r="AB92" i="2"/>
  <c r="AD19" i="2"/>
  <c r="AC207" i="2"/>
  <c r="AC137" i="2"/>
  <c r="AD167" i="2"/>
  <c r="Z98" i="2"/>
  <c r="AD98" i="2"/>
  <c r="AA97" i="2"/>
  <c r="AD97" i="2"/>
  <c r="Z97" i="2"/>
  <c r="AB97" i="2"/>
  <c r="AC97" i="2"/>
  <c r="AB88" i="2"/>
  <c r="AC88" i="2"/>
  <c r="Z88" i="2"/>
  <c r="AA88" i="2"/>
  <c r="AD88" i="2"/>
  <c r="AB57" i="2"/>
  <c r="AC57" i="2"/>
  <c r="Z57" i="2"/>
  <c r="AA57" i="2"/>
  <c r="AD57" i="2"/>
  <c r="AA46" i="2"/>
  <c r="AB46" i="2"/>
  <c r="AC46" i="2"/>
  <c r="AD46" i="2"/>
  <c r="Z46" i="2"/>
  <c r="Z63" i="2"/>
  <c r="AA63" i="2"/>
  <c r="Z190" i="2"/>
  <c r="AD190" i="2"/>
  <c r="Y212" i="2"/>
  <c r="AE212" i="2" s="1"/>
  <c r="Y171" i="2"/>
  <c r="AE171" i="2" s="1"/>
  <c r="Y155" i="2"/>
  <c r="AE155" i="2" s="1"/>
  <c r="Z111" i="2"/>
  <c r="AA111" i="2"/>
  <c r="AB111" i="2"/>
  <c r="Z82" i="2"/>
  <c r="AD82" i="2"/>
  <c r="Z156" i="2"/>
  <c r="AD156" i="2"/>
  <c r="AA156" i="2"/>
  <c r="AB156" i="2"/>
  <c r="AC156" i="2"/>
  <c r="Z17" i="2"/>
  <c r="AA17" i="2"/>
  <c r="AD17" i="2"/>
  <c r="AB17" i="2"/>
  <c r="AC17" i="2"/>
  <c r="AA220" i="2"/>
  <c r="Z220" i="2"/>
  <c r="AB220" i="2"/>
  <c r="AC220" i="2"/>
  <c r="AD220" i="2"/>
  <c r="Z40" i="2"/>
  <c r="AA40" i="2"/>
  <c r="AB40" i="2"/>
  <c r="AC40" i="2"/>
  <c r="AD40" i="2"/>
  <c r="Y221" i="2"/>
  <c r="AE221" i="2" s="1"/>
  <c r="AA167" i="2"/>
  <c r="Z167" i="2"/>
  <c r="AB167" i="2"/>
  <c r="Y154" i="2"/>
  <c r="AE154" i="2" s="1"/>
  <c r="Y208" i="2"/>
  <c r="AE208" i="2" s="1"/>
  <c r="Y51" i="2"/>
  <c r="AE51" i="2" s="1"/>
  <c r="Z210" i="2"/>
  <c r="AD210" i="2"/>
  <c r="Y164" i="2"/>
  <c r="AE164" i="2" s="1"/>
  <c r="AA224" i="2"/>
  <c r="AC224" i="2"/>
  <c r="AD224" i="2"/>
  <c r="Z224" i="2"/>
  <c r="AB224" i="2"/>
  <c r="AB19" i="2"/>
  <c r="AC116" i="2"/>
  <c r="AB210" i="2"/>
  <c r="AC170" i="2"/>
  <c r="AA177" i="2"/>
  <c r="Z201" i="2"/>
  <c r="AA201" i="2"/>
  <c r="AC201" i="2"/>
  <c r="AD201" i="2"/>
  <c r="AB201" i="2"/>
  <c r="Z64" i="2"/>
  <c r="AA64" i="2"/>
  <c r="AD64" i="2"/>
  <c r="AB64" i="2"/>
  <c r="AC64" i="2"/>
  <c r="AA68" i="2"/>
  <c r="AB68" i="2"/>
  <c r="Z68" i="2"/>
  <c r="AC68" i="2"/>
  <c r="AD68" i="2"/>
  <c r="AB62" i="2"/>
  <c r="AC62" i="2"/>
  <c r="Z62" i="2"/>
  <c r="AA62" i="2"/>
  <c r="AD62" i="2"/>
  <c r="Z175" i="2"/>
  <c r="AA175" i="2"/>
  <c r="AB175" i="2"/>
  <c r="Z13" i="2"/>
  <c r="AC13" i="2"/>
  <c r="AD13" i="2"/>
  <c r="AB13" i="2"/>
  <c r="Y196" i="2"/>
  <c r="AE196" i="2" s="1"/>
  <c r="Y194" i="2"/>
  <c r="AE194" i="2" s="1"/>
  <c r="Y109" i="2"/>
  <c r="AE109" i="2" s="1"/>
  <c r="AA127" i="2"/>
  <c r="Z127" i="2"/>
  <c r="AD130" i="2"/>
  <c r="Z130" i="2"/>
  <c r="AD131" i="2"/>
  <c r="AB131" i="2"/>
  <c r="AC131" i="2"/>
  <c r="AB119" i="2"/>
  <c r="AA19" i="2"/>
  <c r="AA210" i="2"/>
  <c r="Z29" i="2"/>
  <c r="AD29" i="2"/>
  <c r="AB29" i="2"/>
  <c r="AC29" i="2"/>
  <c r="Z121" i="2"/>
  <c r="AA121" i="2"/>
  <c r="AB121" i="2"/>
  <c r="AC121" i="2"/>
  <c r="AD121" i="2"/>
  <c r="Z197" i="2"/>
  <c r="AB197" i="2"/>
  <c r="AD197" i="2"/>
  <c r="AC197" i="2"/>
  <c r="Z21" i="2"/>
  <c r="AD21" i="2"/>
  <c r="AB21" i="2"/>
  <c r="AC21" i="2"/>
  <c r="Z157" i="2"/>
  <c r="AD157" i="2"/>
  <c r="AB157" i="2"/>
  <c r="AC157" i="2"/>
  <c r="Y73" i="2"/>
  <c r="AE73" i="2" s="1"/>
  <c r="Z179" i="2"/>
  <c r="AB179" i="2"/>
  <c r="AA179" i="2"/>
  <c r="AC179" i="2"/>
  <c r="AD179" i="2"/>
  <c r="Y115" i="2"/>
  <c r="AE115" i="2" s="1"/>
  <c r="AD170" i="2"/>
  <c r="Z170" i="2"/>
  <c r="Y67" i="2"/>
  <c r="AE67" i="2" s="1"/>
  <c r="Y226" i="2"/>
  <c r="AE226" i="2" s="1"/>
  <c r="Y180" i="2"/>
  <c r="AE180" i="2" s="1"/>
  <c r="Y144" i="2"/>
  <c r="AE144" i="2" s="1"/>
  <c r="AB127" i="2"/>
  <c r="AA170" i="2"/>
  <c r="AD119" i="2"/>
  <c r="Z117" i="2"/>
  <c r="AD117" i="2"/>
  <c r="AB117" i="2"/>
  <c r="AC117" i="2"/>
  <c r="AB84" i="2"/>
  <c r="AC84" i="2"/>
  <c r="AD84" i="2"/>
  <c r="AA84" i="2"/>
  <c r="AD89" i="2"/>
  <c r="Z89" i="2"/>
  <c r="AB89" i="2"/>
  <c r="Z45" i="2"/>
  <c r="AB45" i="2"/>
  <c r="AD45" i="2"/>
  <c r="AC45" i="2"/>
  <c r="Y132" i="2"/>
  <c r="AE132" i="2" s="1"/>
  <c r="Z218" i="2"/>
  <c r="AD218" i="2"/>
  <c r="AD122" i="2"/>
  <c r="Z122" i="2"/>
  <c r="AB143" i="2"/>
  <c r="Z143" i="2"/>
  <c r="AA143" i="2"/>
  <c r="Y159" i="2"/>
  <c r="AE159" i="2" s="1"/>
  <c r="Y146" i="2"/>
  <c r="AE146" i="2" s="1"/>
  <c r="Y47" i="2"/>
  <c r="AE47" i="2" s="1"/>
  <c r="AD77" i="2"/>
  <c r="Z77" i="2"/>
  <c r="AB77" i="2"/>
  <c r="AC77" i="2"/>
  <c r="AA131" i="2"/>
  <c r="AA31" i="2"/>
  <c r="AB31" i="2"/>
  <c r="Z31" i="2"/>
  <c r="AB128" i="2"/>
  <c r="AC128" i="2"/>
  <c r="Z128" i="2"/>
  <c r="AA128" i="2"/>
  <c r="AD128" i="2"/>
  <c r="AB150" i="2"/>
  <c r="Z150" i="2"/>
  <c r="AA150" i="2"/>
  <c r="AC150" i="2"/>
  <c r="AD150" i="2"/>
  <c r="Y199" i="2"/>
  <c r="AE199" i="2" s="1"/>
  <c r="Y20" i="2"/>
  <c r="AE20" i="2" s="1"/>
  <c r="Y140" i="2"/>
  <c r="AE140" i="2" s="1"/>
  <c r="Y71" i="2"/>
  <c r="AE71" i="2" s="1"/>
  <c r="Z131" i="2"/>
  <c r="AD35" i="2"/>
  <c r="AC122" i="2"/>
  <c r="AB56" i="2"/>
  <c r="Z56" i="2"/>
  <c r="AA56" i="2"/>
  <c r="AC56" i="2"/>
  <c r="AD56" i="2"/>
  <c r="AB151" i="2"/>
  <c r="Z151" i="2"/>
  <c r="AA151" i="2"/>
  <c r="Z42" i="2"/>
  <c r="AD42" i="2"/>
  <c r="Z39" i="2"/>
  <c r="AA39" i="2"/>
  <c r="AB39" i="2"/>
  <c r="AA169" i="2"/>
  <c r="Z169" i="2"/>
  <c r="Z78" i="2"/>
  <c r="AB78" i="2"/>
  <c r="AC78" i="2"/>
  <c r="AA78" i="2"/>
  <c r="AD78" i="2"/>
  <c r="Z93" i="2"/>
  <c r="AB93" i="2"/>
  <c r="AC93" i="2"/>
  <c r="AD93" i="2"/>
  <c r="AC230" i="2"/>
  <c r="AA230" i="2"/>
  <c r="Y161" i="2"/>
  <c r="AE161" i="2" s="1"/>
  <c r="Z223" i="2"/>
  <c r="AA223" i="2"/>
  <c r="AB223" i="2"/>
  <c r="Z178" i="2"/>
  <c r="AD178" i="2"/>
  <c r="AA77" i="2"/>
  <c r="AA137" i="2"/>
  <c r="AC35" i="2"/>
  <c r="AB122" i="2"/>
  <c r="AB230" i="2"/>
  <c r="Y219" i="2"/>
  <c r="AE219" i="2" s="1"/>
  <c r="Z138" i="2"/>
  <c r="AD138" i="2"/>
  <c r="Y36" i="2"/>
  <c r="AE36" i="2" s="1"/>
  <c r="Y147" i="2"/>
  <c r="AE147" i="2" s="1"/>
  <c r="Y145" i="2"/>
  <c r="AE145" i="2" s="1"/>
  <c r="Y113" i="2"/>
  <c r="AE113" i="2" s="1"/>
  <c r="Z189" i="2"/>
  <c r="AD189" i="2"/>
  <c r="AB189" i="2"/>
  <c r="AC189" i="2"/>
  <c r="AA8" i="2"/>
  <c r="AB8" i="2"/>
  <c r="AD8" i="2"/>
  <c r="Z8" i="2"/>
  <c r="AC8" i="2"/>
  <c r="AC162" i="2"/>
  <c r="AD143" i="2"/>
  <c r="AC58" i="2"/>
  <c r="AB35" i="2"/>
  <c r="AD135" i="2"/>
  <c r="AA122" i="2"/>
  <c r="Z101" i="2"/>
  <c r="AB101" i="2"/>
  <c r="AC101" i="2"/>
  <c r="AD101" i="2"/>
  <c r="AD49" i="2"/>
  <c r="AA49" i="2"/>
  <c r="AB49" i="2"/>
  <c r="Z49" i="2"/>
  <c r="AC49" i="2"/>
  <c r="AA6" i="2"/>
  <c r="AB6" i="2"/>
  <c r="Z6" i="2"/>
  <c r="AC6" i="2"/>
  <c r="AD6" i="2"/>
  <c r="Z185" i="2"/>
  <c r="AA185" i="2"/>
  <c r="AC185" i="2"/>
  <c r="AD185" i="2"/>
  <c r="AB185" i="2"/>
  <c r="Z204" i="2"/>
  <c r="AC204" i="2"/>
  <c r="AA204" i="2"/>
  <c r="AB204" i="2"/>
  <c r="AD204" i="2"/>
  <c r="Z206" i="2"/>
  <c r="AA206" i="2"/>
  <c r="AB206" i="2"/>
  <c r="AC206" i="2"/>
  <c r="AD206" i="2"/>
  <c r="Z125" i="2"/>
  <c r="AD125" i="2"/>
  <c r="AB125" i="2"/>
  <c r="AC125" i="2"/>
  <c r="AD158" i="2"/>
  <c r="Z158" i="2"/>
  <c r="AA158" i="2"/>
  <c r="AB158" i="2"/>
  <c r="Z198" i="2"/>
  <c r="AB198" i="2"/>
  <c r="AC198" i="2"/>
  <c r="AD198" i="2"/>
  <c r="AA198" i="2"/>
  <c r="Z168" i="2"/>
  <c r="AB168" i="2"/>
  <c r="AC168" i="2"/>
  <c r="AA168" i="2"/>
  <c r="AD168" i="2"/>
  <c r="Y18" i="2"/>
  <c r="AE18" i="2" s="1"/>
  <c r="Y214" i="2"/>
  <c r="AE214" i="2" s="1"/>
  <c r="AB162" i="2"/>
  <c r="AD127" i="2"/>
  <c r="AD111" i="2"/>
  <c r="AD192" i="2"/>
  <c r="AA192" i="2"/>
  <c r="AB192" i="2"/>
  <c r="Z192" i="2"/>
  <c r="AC192" i="2"/>
  <c r="Z95" i="2"/>
  <c r="AA95" i="2"/>
  <c r="AB95" i="2"/>
  <c r="AC123" i="2"/>
  <c r="AD123" i="2"/>
  <c r="AB123" i="2"/>
  <c r="Y9" i="2"/>
  <c r="AE9" i="2" s="1"/>
  <c r="AB184" i="2"/>
  <c r="AC184" i="2"/>
  <c r="AD184" i="2"/>
  <c r="Z184" i="2"/>
  <c r="AA184" i="2"/>
  <c r="Y186" i="2"/>
  <c r="AE186" i="2" s="1"/>
  <c r="Y52" i="2"/>
  <c r="AE52" i="2" s="1"/>
  <c r="Y166" i="2"/>
  <c r="AE166" i="2" s="1"/>
  <c r="AA162" i="2"/>
  <c r="AC127" i="2"/>
  <c r="AC111" i="2"/>
  <c r="AD223" i="2"/>
  <c r="AC138" i="2"/>
  <c r="Z32" i="2"/>
  <c r="AA32" i="2"/>
  <c r="AD32" i="2"/>
  <c r="AC32" i="2"/>
  <c r="Z133" i="2"/>
  <c r="AC133" i="2"/>
  <c r="AD133" i="2"/>
  <c r="AB133" i="2"/>
  <c r="AB59" i="2"/>
  <c r="AD59" i="2"/>
  <c r="AC59" i="2"/>
  <c r="Z141" i="2"/>
  <c r="AD141" i="2"/>
  <c r="AB141" i="2"/>
  <c r="AC141" i="2"/>
  <c r="AB76" i="2"/>
  <c r="AA76" i="2"/>
  <c r="AC76" i="2"/>
  <c r="AD76" i="2"/>
  <c r="Z76" i="2"/>
  <c r="Y100" i="2"/>
  <c r="AE100" i="2" s="1"/>
  <c r="Z79" i="2"/>
  <c r="AA79" i="2"/>
  <c r="AB79" i="2"/>
  <c r="AD200" i="2"/>
  <c r="Z200" i="2"/>
  <c r="AA200" i="2"/>
  <c r="AB200" i="2"/>
  <c r="AC200" i="2"/>
  <c r="AD211" i="2"/>
  <c r="Z211" i="2"/>
  <c r="AA211" i="2"/>
  <c r="AB211" i="2"/>
  <c r="AC211" i="2"/>
  <c r="Y110" i="2"/>
  <c r="AE110" i="2" s="1"/>
  <c r="Z229" i="2"/>
  <c r="AB229" i="2"/>
  <c r="AC229" i="2"/>
  <c r="AD229" i="2"/>
  <c r="Y34" i="2"/>
  <c r="AE34" i="2" s="1"/>
  <c r="AC136" i="2"/>
  <c r="AD136" i="2"/>
  <c r="Z136" i="2"/>
  <c r="AA136" i="2"/>
  <c r="AB136" i="2"/>
  <c r="Y112" i="2"/>
  <c r="AE112" i="2" s="1"/>
  <c r="AC130" i="2"/>
  <c r="AC114" i="2"/>
  <c r="AC223" i="2"/>
  <c r="AC79" i="2"/>
  <c r="AB138" i="2"/>
  <c r="Z149" i="2"/>
  <c r="AD149" i="2"/>
  <c r="AB149" i="2"/>
  <c r="AC149" i="2"/>
  <c r="Z69" i="2"/>
  <c r="AC69" i="2"/>
  <c r="AD69" i="2"/>
  <c r="AB69" i="2"/>
  <c r="AA124" i="2"/>
  <c r="Z124" i="2"/>
  <c r="Z85" i="2"/>
  <c r="AB85" i="2"/>
  <c r="AC85" i="2"/>
  <c r="AD85" i="2"/>
  <c r="Z38" i="2"/>
  <c r="AA38" i="2"/>
  <c r="AC38" i="2"/>
  <c r="AD38" i="2"/>
  <c r="AB38" i="2"/>
  <c r="AA119" i="2"/>
  <c r="Z119" i="2"/>
  <c r="Y202" i="2"/>
  <c r="AE202" i="2" s="1"/>
  <c r="Y24" i="2"/>
  <c r="AE24" i="2" s="1"/>
  <c r="AC218" i="2"/>
  <c r="AB130" i="2"/>
  <c r="AB114" i="2"/>
  <c r="AC82" i="2"/>
  <c r="AA138" i="2"/>
  <c r="Z105" i="2"/>
  <c r="AC105" i="2"/>
  <c r="AD105" i="2"/>
  <c r="AA105" i="2"/>
  <c r="AB105" i="2"/>
  <c r="AB25" i="2"/>
  <c r="Z25" i="2"/>
  <c r="AA25" i="2"/>
  <c r="AC25" i="2"/>
  <c r="AD25" i="2"/>
  <c r="AC91" i="2"/>
  <c r="AB91" i="2"/>
  <c r="Z173" i="2"/>
  <c r="AD173" i="2"/>
  <c r="AB173" i="2"/>
  <c r="AC173" i="2"/>
  <c r="Y4" i="2"/>
  <c r="AE4" i="2" s="1"/>
  <c r="Y215" i="2"/>
  <c r="AE215" i="2" s="1"/>
  <c r="Y232" i="2"/>
  <c r="AE232" i="2" s="1"/>
  <c r="Z228" i="2"/>
  <c r="AB228" i="2"/>
  <c r="AC228" i="2"/>
  <c r="AA228" i="2"/>
  <c r="AD228" i="2"/>
  <c r="AD217" i="2"/>
  <c r="Z217" i="2"/>
  <c r="AA217" i="2"/>
  <c r="AB217" i="2"/>
  <c r="AC217" i="2"/>
  <c r="Z53" i="2"/>
  <c r="AB53" i="2"/>
  <c r="AC53" i="2"/>
  <c r="AD53" i="2"/>
  <c r="Y222" i="2"/>
  <c r="AE222" i="2" s="1"/>
  <c r="Y50" i="2"/>
  <c r="AE50" i="2" s="1"/>
  <c r="Y75" i="2"/>
  <c r="AE75" i="2" s="1"/>
  <c r="AB218" i="2"/>
  <c r="AC177" i="2"/>
  <c r="AA130" i="2"/>
  <c r="AB82" i="2"/>
  <c r="Z230" i="2"/>
  <c r="AD28" i="2"/>
  <c r="AA28" i="2"/>
  <c r="AB28" i="2"/>
  <c r="Z28" i="2"/>
  <c r="AC28" i="2"/>
  <c r="AB22" i="2"/>
  <c r="Z22" i="2"/>
  <c r="AA22" i="2"/>
  <c r="AC22" i="2"/>
  <c r="AD22" i="2"/>
  <c r="Z44" i="2"/>
  <c r="AA44" i="2"/>
  <c r="AB44" i="2"/>
  <c r="AC44" i="2"/>
  <c r="AD44" i="2"/>
  <c r="Z114" i="2"/>
  <c r="AD114" i="2"/>
  <c r="AC231" i="2"/>
  <c r="AB231" i="2"/>
  <c r="Z231" i="2"/>
  <c r="AA231" i="2"/>
  <c r="AD231" i="2"/>
  <c r="Y16" i="2"/>
  <c r="AE16" i="2" s="1"/>
  <c r="Y216" i="2"/>
  <c r="AE216" i="2" s="1"/>
  <c r="Z203" i="2"/>
  <c r="AA203" i="2"/>
  <c r="AD203" i="2"/>
  <c r="AB203" i="2"/>
  <c r="AC203" i="2"/>
  <c r="Y163" i="2"/>
  <c r="AE163" i="2" s="1"/>
  <c r="AB116" i="2"/>
  <c r="Z116" i="2"/>
  <c r="Y188" i="2"/>
  <c r="AE188" i="2" s="1"/>
  <c r="Y209" i="2"/>
  <c r="AE209" i="2" s="1"/>
  <c r="AA218" i="2"/>
  <c r="AA82" i="2"/>
  <c r="AC158" i="2"/>
  <c r="Z108" i="2"/>
  <c r="AB108" i="2"/>
  <c r="AC108" i="2"/>
  <c r="AA108" i="2"/>
  <c r="AD108" i="2"/>
  <c r="Z187" i="2"/>
  <c r="AD187" i="2"/>
  <c r="AA72" i="2"/>
  <c r="AD72" i="2"/>
  <c r="Z72" i="2"/>
  <c r="AB72" i="2"/>
  <c r="AC72" i="2"/>
  <c r="Z41" i="2"/>
  <c r="AA41" i="2"/>
  <c r="AC41" i="2"/>
  <c r="AD41" i="2"/>
  <c r="AB41" i="2"/>
  <c r="AD107" i="2"/>
  <c r="AB107" i="2"/>
  <c r="AC107" i="2"/>
  <c r="Z205" i="2"/>
  <c r="AC205" i="2"/>
  <c r="AD205" i="2"/>
  <c r="AB205" i="2"/>
  <c r="AB142" i="2"/>
  <c r="AA142" i="2"/>
  <c r="AC142" i="2"/>
  <c r="AD142" i="2"/>
  <c r="Z142" i="2"/>
  <c r="AD80" i="2"/>
  <c r="Z80" i="2"/>
  <c r="AA80" i="2"/>
  <c r="AB80" i="2"/>
  <c r="AC80" i="2"/>
  <c r="AB32" i="2" l="1"/>
  <c r="AB118" i="2"/>
  <c r="AC118" i="2"/>
  <c r="AA118" i="2"/>
  <c r="Z118" i="2"/>
  <c r="AD118" i="2"/>
  <c r="Z226" i="2"/>
  <c r="AD226" i="2"/>
  <c r="AA226" i="2"/>
  <c r="AB226" i="2"/>
  <c r="AC226" i="2"/>
  <c r="Z194" i="2"/>
  <c r="AD194" i="2"/>
  <c r="AA194" i="2"/>
  <c r="AB194" i="2"/>
  <c r="AC194" i="2"/>
  <c r="AB208" i="2"/>
  <c r="AD208" i="2"/>
  <c r="Z208" i="2"/>
  <c r="AA208" i="2"/>
  <c r="AC208" i="2"/>
  <c r="AD75" i="2"/>
  <c r="AB75" i="2"/>
  <c r="AC75" i="2"/>
  <c r="Z75" i="2"/>
  <c r="AA75" i="2"/>
  <c r="Z202" i="2"/>
  <c r="AD202" i="2"/>
  <c r="AA202" i="2"/>
  <c r="AB202" i="2"/>
  <c r="AC202" i="2"/>
  <c r="AC67" i="2"/>
  <c r="Z67" i="2"/>
  <c r="AA67" i="2"/>
  <c r="AD67" i="2"/>
  <c r="AB67" i="2"/>
  <c r="AA196" i="2"/>
  <c r="Z196" i="2"/>
  <c r="AD196" i="2"/>
  <c r="AC196" i="2"/>
  <c r="AB196" i="2"/>
  <c r="Z50" i="2"/>
  <c r="AA50" i="2"/>
  <c r="AB50" i="2"/>
  <c r="AC50" i="2"/>
  <c r="AD50" i="2"/>
  <c r="Z219" i="2"/>
  <c r="AA219" i="2"/>
  <c r="AD219" i="2"/>
  <c r="AB219" i="2"/>
  <c r="AC219" i="2"/>
  <c r="AD154" i="2"/>
  <c r="Z154" i="2"/>
  <c r="AA154" i="2"/>
  <c r="AB154" i="2"/>
  <c r="AC154" i="2"/>
  <c r="AC99" i="2"/>
  <c r="AB99" i="2"/>
  <c r="AD99" i="2"/>
  <c r="Z99" i="2"/>
  <c r="AA99" i="2"/>
  <c r="AC83" i="2"/>
  <c r="AB83" i="2"/>
  <c r="Z83" i="2"/>
  <c r="AA83" i="2"/>
  <c r="AD83" i="2"/>
  <c r="AA9" i="2"/>
  <c r="AB9" i="2"/>
  <c r="Z9" i="2"/>
  <c r="AC9" i="2"/>
  <c r="AD9" i="2"/>
  <c r="Z222" i="2"/>
  <c r="AA222" i="2"/>
  <c r="AD222" i="2"/>
  <c r="AB222" i="2"/>
  <c r="AC222" i="2"/>
  <c r="AD232" i="2"/>
  <c r="AA232" i="2"/>
  <c r="AB232" i="2"/>
  <c r="Z232" i="2"/>
  <c r="AC232" i="2"/>
  <c r="AD132" i="2"/>
  <c r="Z132" i="2"/>
  <c r="AB132" i="2"/>
  <c r="AA132" i="2"/>
  <c r="AC132" i="2"/>
  <c r="Z155" i="2"/>
  <c r="AB155" i="2"/>
  <c r="AC155" i="2"/>
  <c r="AA155" i="2"/>
  <c r="AD155" i="2"/>
  <c r="AB233" i="2"/>
  <c r="Z233" i="2"/>
  <c r="AA233" i="2"/>
  <c r="AC233" i="2"/>
  <c r="AD233" i="2"/>
  <c r="Z216" i="2"/>
  <c r="AC216" i="2"/>
  <c r="AA216" i="2"/>
  <c r="AB216" i="2"/>
  <c r="AD216" i="2"/>
  <c r="AD161" i="2"/>
  <c r="AA161" i="2"/>
  <c r="Z161" i="2"/>
  <c r="AB161" i="2"/>
  <c r="AC161" i="2"/>
  <c r="Z47" i="2"/>
  <c r="AB47" i="2"/>
  <c r="AC47" i="2"/>
  <c r="AD47" i="2"/>
  <c r="AA47" i="2"/>
  <c r="AC115" i="2"/>
  <c r="AD115" i="2"/>
  <c r="AB115" i="2"/>
  <c r="Z115" i="2"/>
  <c r="AA115" i="2"/>
  <c r="Z66" i="2"/>
  <c r="AD66" i="2"/>
  <c r="AA66" i="2"/>
  <c r="AB66" i="2"/>
  <c r="AC66" i="2"/>
  <c r="AD24" i="2"/>
  <c r="AA24" i="2"/>
  <c r="AB24" i="2"/>
  <c r="Z24" i="2"/>
  <c r="AC24" i="2"/>
  <c r="AB112" i="2"/>
  <c r="AC112" i="2"/>
  <c r="Z112" i="2"/>
  <c r="AD112" i="2"/>
  <c r="AA112" i="2"/>
  <c r="Z215" i="2"/>
  <c r="AA215" i="2"/>
  <c r="AB215" i="2"/>
  <c r="AC215" i="2"/>
  <c r="AD215" i="2"/>
  <c r="AD34" i="2"/>
  <c r="Z34" i="2"/>
  <c r="AA34" i="2"/>
  <c r="AB34" i="2"/>
  <c r="AC34" i="2"/>
  <c r="AD214" i="2"/>
  <c r="Z214" i="2"/>
  <c r="AA214" i="2"/>
  <c r="AB214" i="2"/>
  <c r="AC214" i="2"/>
  <c r="AB171" i="2"/>
  <c r="Z171" i="2"/>
  <c r="AD171" i="2"/>
  <c r="AC171" i="2"/>
  <c r="AA171" i="2"/>
  <c r="AB148" i="2"/>
  <c r="AC148" i="2"/>
  <c r="Z148" i="2"/>
  <c r="AA148" i="2"/>
  <c r="AD148" i="2"/>
  <c r="Z16" i="2"/>
  <c r="AA16" i="2"/>
  <c r="AC16" i="2"/>
  <c r="AD16" i="2"/>
  <c r="AB16" i="2"/>
  <c r="AA71" i="2"/>
  <c r="AB71" i="2"/>
  <c r="Z71" i="2"/>
  <c r="AC71" i="2"/>
  <c r="AD71" i="2"/>
  <c r="Z146" i="2"/>
  <c r="AD146" i="2"/>
  <c r="AA146" i="2"/>
  <c r="AB146" i="2"/>
  <c r="AC146" i="2"/>
  <c r="Z195" i="2"/>
  <c r="AA195" i="2"/>
  <c r="AB195" i="2"/>
  <c r="AC195" i="2"/>
  <c r="AD195" i="2"/>
  <c r="Z209" i="2"/>
  <c r="AB209" i="2"/>
  <c r="AC209" i="2"/>
  <c r="AA209" i="2"/>
  <c r="AD209" i="2"/>
  <c r="AC4" i="2"/>
  <c r="AB4" i="2"/>
  <c r="AA4" i="2"/>
  <c r="Z4" i="2"/>
  <c r="AD4" i="2"/>
  <c r="AA166" i="2"/>
  <c r="Z166" i="2"/>
  <c r="AB166" i="2"/>
  <c r="AD166" i="2"/>
  <c r="AC166" i="2"/>
  <c r="Z18" i="2"/>
  <c r="AD18" i="2"/>
  <c r="AA18" i="2"/>
  <c r="AB18" i="2"/>
  <c r="AC18" i="2"/>
  <c r="Z113" i="2"/>
  <c r="AA113" i="2"/>
  <c r="AB113" i="2"/>
  <c r="AC113" i="2"/>
  <c r="AD113" i="2"/>
  <c r="Z221" i="2"/>
  <c r="AC221" i="2"/>
  <c r="AD221" i="2"/>
  <c r="AB221" i="2"/>
  <c r="AA221" i="2"/>
  <c r="AC212" i="2"/>
  <c r="AD212" i="2"/>
  <c r="Z212" i="2"/>
  <c r="AA212" i="2"/>
  <c r="AB212" i="2"/>
  <c r="Z183" i="2"/>
  <c r="AA183" i="2"/>
  <c r="AB183" i="2"/>
  <c r="AC183" i="2"/>
  <c r="AD183" i="2"/>
  <c r="AB140" i="2"/>
  <c r="AC140" i="2"/>
  <c r="Z140" i="2"/>
  <c r="AA140" i="2"/>
  <c r="AD140" i="2"/>
  <c r="Z159" i="2"/>
  <c r="AA159" i="2"/>
  <c r="AB159" i="2"/>
  <c r="AC159" i="2"/>
  <c r="AD159" i="2"/>
  <c r="Z164" i="2"/>
  <c r="AB164" i="2"/>
  <c r="AC164" i="2"/>
  <c r="AA164" i="2"/>
  <c r="AD164" i="2"/>
  <c r="Z188" i="2"/>
  <c r="AA188" i="2"/>
  <c r="AC188" i="2"/>
  <c r="AD188" i="2"/>
  <c r="AB188" i="2"/>
  <c r="Z52" i="2"/>
  <c r="AA52" i="2"/>
  <c r="AC52" i="2"/>
  <c r="AD52" i="2"/>
  <c r="AB52" i="2"/>
  <c r="AC145" i="2"/>
  <c r="AA145" i="2"/>
  <c r="AB145" i="2"/>
  <c r="Z145" i="2"/>
  <c r="AD145" i="2"/>
  <c r="Z100" i="2"/>
  <c r="AD100" i="2"/>
  <c r="AC100" i="2"/>
  <c r="AB100" i="2"/>
  <c r="AA100" i="2"/>
  <c r="AB20" i="2"/>
  <c r="AC20" i="2"/>
  <c r="Z20" i="2"/>
  <c r="AA20" i="2"/>
  <c r="AD20" i="2"/>
  <c r="AD144" i="2"/>
  <c r="AA144" i="2"/>
  <c r="AB144" i="2"/>
  <c r="Z144" i="2"/>
  <c r="AC144" i="2"/>
  <c r="AA110" i="2"/>
  <c r="Z110" i="2"/>
  <c r="AB110" i="2"/>
  <c r="AC110" i="2"/>
  <c r="AD110" i="2"/>
  <c r="Z186" i="2"/>
  <c r="AD186" i="2"/>
  <c r="AA186" i="2"/>
  <c r="AB186" i="2"/>
  <c r="AC186" i="2"/>
  <c r="AB147" i="2"/>
  <c r="Z147" i="2"/>
  <c r="AA147" i="2"/>
  <c r="AC147" i="2"/>
  <c r="AD147" i="2"/>
  <c r="AB73" i="2"/>
  <c r="Z73" i="2"/>
  <c r="AC73" i="2"/>
  <c r="AA73" i="2"/>
  <c r="AD73" i="2"/>
  <c r="Z199" i="2"/>
  <c r="AA199" i="2"/>
  <c r="AB199" i="2"/>
  <c r="AC199" i="2"/>
  <c r="AD199" i="2"/>
  <c r="AC180" i="2"/>
  <c r="AA180" i="2"/>
  <c r="AD180" i="2"/>
  <c r="Z180" i="2"/>
  <c r="AB180" i="2"/>
  <c r="Z109" i="2"/>
  <c r="AB109" i="2"/>
  <c r="AC109" i="2"/>
  <c r="AD109" i="2"/>
  <c r="AA109" i="2"/>
  <c r="AD51" i="2"/>
  <c r="AB51" i="2"/>
  <c r="AA51" i="2"/>
  <c r="AC51" i="2"/>
  <c r="Z51" i="2"/>
  <c r="AA163" i="2"/>
  <c r="Z163" i="2"/>
  <c r="AB163" i="2"/>
  <c r="AD163" i="2"/>
  <c r="AC163" i="2"/>
  <c r="Z36" i="2"/>
  <c r="AA36" i="2"/>
  <c r="AD36" i="2"/>
  <c r="AB36" i="2"/>
  <c r="AC36" i="2"/>
</calcChain>
</file>

<file path=xl/sharedStrings.xml><?xml version="1.0" encoding="utf-8"?>
<sst xmlns="http://schemas.openxmlformats.org/spreadsheetml/2006/main" count="2170" uniqueCount="1021">
  <si>
    <t>類別</t>
  </si>
  <si>
    <t>狀態</t>
  </si>
  <si>
    <t>型號</t>
  </si>
  <si>
    <t>品名</t>
  </si>
  <si>
    <t>單位</t>
  </si>
  <si>
    <t>產品描述</t>
  </si>
  <si>
    <t>圖片</t>
  </si>
  <si>
    <t>成本(TWD)</t>
  </si>
  <si>
    <t>規劃費</t>
  </si>
  <si>
    <t>設定費</t>
  </si>
  <si>
    <t>市場報價</t>
  </si>
  <si>
    <t>設計師價</t>
  </si>
  <si>
    <t>一級經銷商</t>
  </si>
  <si>
    <t>二級經銷商</t>
  </si>
  <si>
    <t>分公司</t>
  </si>
  <si>
    <t>總經銷商</t>
  </si>
  <si>
    <t>備註</t>
  </si>
  <si>
    <t>公式說明：M=ROUND(IF(L&lt;1,(J+K)*L+(J+K),(J+K)*(L/100)+(J+K)),2)；O=ROUND(M*I+N,0)。</t>
  </si>
  <si>
    <t>來源幣別</t>
  </si>
  <si>
    <t>匯率</t>
  </si>
  <si>
    <t>來源成本(USD)</t>
  </si>
  <si>
    <t>運費(USD)</t>
  </si>
  <si>
    <t>關稅/其他成本加成(%)</t>
  </si>
  <si>
    <t>加乘後金額(USD)</t>
  </si>
  <si>
    <t>其他加購(TWD)</t>
  </si>
  <si>
    <t>特殊倍數_市場最低價</t>
  </si>
  <si>
    <t>特殊倍數_設計師價</t>
  </si>
  <si>
    <t>特殊倍數_一級經銷商</t>
  </si>
  <si>
    <t>特殊倍數_二級經銷商</t>
  </si>
  <si>
    <t>特殊倍數_分公司</t>
  </si>
  <si>
    <t>特殊倍數_總經銷商</t>
  </si>
  <si>
    <t>設計師價折扣比例</t>
  </si>
  <si>
    <t>一級經銷商折扣比例</t>
  </si>
  <si>
    <t>二級經銷商折扣比例</t>
  </si>
  <si>
    <t>分公司折扣比例</t>
  </si>
  <si>
    <t>總經銷商折扣比例</t>
  </si>
  <si>
    <t>(停產)</t>
  </si>
  <si>
    <t>一般</t>
  </si>
  <si>
    <t>顆</t>
  </si>
  <si>
    <t>尺寸：86 x 86 x 38.3 毫米
前面板：塑膠面板，需更換為金屬面板
電源供應器：AC100-240V，50/60Hz
最大限度。負載：800W/路（四路合計小於1200W）</t>
  </si>
  <si>
    <t>/uploads/product_images/B10W4.png</t>
  </si>
  <si>
    <t>USD</t>
  </si>
  <si>
    <t>需提供零線(N)-白線
採用86底盒安裝(智崴提供)</t>
  </si>
  <si>
    <t>B10W8</t>
  </si>
  <si>
    <t>尺寸：86 x 86 x 38.3 毫米
前面板：塑膠面板，需更換為金屬面板
電源供應器：AC100-240V，50/60Hz
最大限度。負載：800W/路（四路合計小於1200W）</t>
  </si>
  <si>
    <t>/uploads/product_images/B10W8.png</t>
  </si>
  <si>
    <t>需提供零線(N)-白線
採用86底盒安裝(智崴提供)</t>
  </si>
  <si>
    <t>CT10W-B1VO</t>
  </si>
  <si>
    <t>控制電視、空調、投影機等紅外線電器。
支援學習功能。</t>
  </si>
  <si>
    <t>/uploads/product_images/CT10W-B1VO.png</t>
  </si>
  <si>
    <t>DCN08016</t>
  </si>
  <si>
    <t>單色溫度燈
具有「智慧調光模組軟光系列」可調光
功率：8英寸12w
尺寸：長220 * 寬103 * H22mm長440 * 寬22 * 高45毫米
發光角度：28°
輸入電壓 48V
材料和顏色：航空鋁和黑色
顯色指數 CRI≧90
控制方式：語音、Mixpad、場景切換、APP</t>
  </si>
  <si>
    <t>/uploads/product_images/DCN08016.png</t>
  </si>
  <si>
    <t>DCN08017</t>
  </si>
  <si>
    <t>單色溫度燈
具有「智慧調光模組軟光系列」可調光
色溫：3000k/4000k/6000k
尺寸：長300 * 寬22 * H45 / L600 * 寬22 * 高45mm
發光角度：100°
輸入電壓 48V
材料和顏色：航空鋁和黑色
顯色指數 CRI≧90
控制方式：語音、Mixpad、場景切換、APP</t>
  </si>
  <si>
    <t>/uploads/product_images/DCN08017.png</t>
  </si>
  <si>
    <t>DCN08018</t>
  </si>
  <si>
    <t>單色溫度燈
具有「智慧調光模組軟光系列」可調光
尺寸Φ45毫米*105毫米
發光角度：28°
輸入電壓 48V
材料和顏色：航空鋁和黑色
顯色指數 CRI≧90
控制方式：語音、Mixpad、場景切換、APP</t>
  </si>
  <si>
    <t>/uploads/product_images/DCN08018.png</t>
  </si>
  <si>
    <t>DCN08021</t>
  </si>
  <si>
    <t>/uploads/product_images/DCN08021.png</t>
  </si>
  <si>
    <t>DCN08025</t>
  </si>
  <si>
    <t>/uploads/product_images/DCN08025.png</t>
  </si>
  <si>
    <t>DCN08027</t>
  </si>
  <si>
    <t>/uploads/product_images/DCN08027.png</t>
  </si>
  <si>
    <t>DCN12019</t>
  </si>
  <si>
    <t>單色溫度燈
具有「智慧調光模組軟光系列」可調光
色溫：3000k/4000k/6000k
尺寸：長220 * 寬103 * H22mm
發光角度：28°
輸入電壓 48V
材料和顏色：航空鋁和黑色
顯色指數 CRI≧90
控制方式：語音、Mixpad、場景切換、APP</t>
  </si>
  <si>
    <t>/uploads/product_images/DCN12019.jpeg</t>
  </si>
  <si>
    <t>DCN12028</t>
  </si>
  <si>
    <t>/uploads/product_images/DCN12028.jpeg</t>
  </si>
  <si>
    <t>TWD</t>
  </si>
  <si>
    <t>DCN15016</t>
  </si>
  <si>
    <t>/uploads/product_images/DCN15016.png</t>
  </si>
  <si>
    <t>DCN15017</t>
  </si>
  <si>
    <t>單色溫度燈
具有「智慧調光模組軟光系列」可調光
功率：8w 15w
尺寸：長300 * 寬22 * H45 / L600 * 寬22 * 高45mm
發光角度：100°
輸入電壓 48V
材料和顏色：航空鋁和黑色
顯色指數 CRI≧90
控制方式：語音、Mixpad、場景切換、APP</t>
  </si>
  <si>
    <t>/uploads/product_images/DCN15017.png</t>
  </si>
  <si>
    <t>DCN15025</t>
  </si>
  <si>
    <t>/uploads/product_images/DCN15025.png</t>
  </si>
  <si>
    <t>DCN15026</t>
  </si>
  <si>
    <t>/uploads/product_images/DCN15026.png</t>
  </si>
  <si>
    <t>DLW24151</t>
  </si>
  <si>
    <t>組</t>
  </si>
  <si>
    <t>輸入：交流100V-240V～50-60Hz
輸出：DC24V 1A
適配器尺寸：71.5*43.5*30mm（線長：1.5M）
控制器尺寸：80*35*15mm
LED燈條尺寸：L2000mm * W14mm * H4mm（可延長至10公尺。）
協定：Wi-Fi + BLE
顯色指數&gt;90Ra
調光：1-100%
光通量：&gt;1800lm
顏色：RGB 1600萬色可選
色溫範圍：2700K-6000K
工作溫度：0℃ - 40℃</t>
  </si>
  <si>
    <t>/uploads/product_images/DLW24151.png</t>
  </si>
  <si>
    <t>DLW24152</t>
  </si>
  <si>
    <t>條</t>
  </si>
  <si>
    <t>LED燈條尺寸：L1000mm * W14mm * H4mm（可延長至10公尺。）
顯色指數&gt;90Ra
調光：1-100%
顏色：RGB 1600萬色可選
色溫範圍：2700K-6000K
工作溫度：0℃ - 40℃</t>
  </si>
  <si>
    <t>/uploads/product_images/DLW24152.png</t>
  </si>
  <si>
    <t>DLW24311</t>
  </si>
  <si>
    <t>LED燈帶尺寸：L5000mm * W14mm * H4mm 功率：DC24V 光束角度：120° 額定功率：8W/m CRI&gt;90Ra 調光：1-100% 光通量：&gt;800lm/m 顏色：RGB 1600萬色色溫範圍： 2700K-6000K 工作溫度：0℃ - 40℃</t>
  </si>
  <si>
    <t>/uploads/product_images/DLW24311.png</t>
  </si>
  <si>
    <t>DLW38074</t>
  </si>
  <si>
    <t>電源：交流100-240V～50/60Hz
規格：3.06m/條，共2條
功率：38W（LED：144顆/條）
適配器電纜長度：1.5m
支援最高刷新率：1920x1080P@120Hz
顏色：RGB
相容螢幕尺寸&lt;90吋且解析度&gt;720P的電視或顯示器</t>
  </si>
  <si>
    <t>/uploads/product_images/DLW38074.png</t>
  </si>
  <si>
    <t>DLW48326</t>
  </si>
  <si>
    <t>/uploads/product_images/DLW48326.png</t>
  </si>
  <si>
    <t>需提拱110V插座</t>
  </si>
  <si>
    <t>DSZ07049</t>
  </si>
  <si>
    <t>SOPRO 投射燈-方形-7W24°</t>
  </si>
  <si>
    <t>開孔尺寸：55*55mm
尺寸：長67*寬67*高81mm
表面：黑色、白色
顯色指數（CRI）：Ra&gt;95
統一眩光等級（UGR）：UGR&lt;9
光束角度：24°
功率：7W
光通量：&gt;350lm
色溫範圍：2700K~6000K
調光：PWM數位調光
調光頻率：3.84kHz</t>
  </si>
  <si>
    <t>/uploads/product_images/DSZ07049.png</t>
  </si>
  <si>
    <t>開孔尺寸55*55mm</t>
  </si>
  <si>
    <t>DSZ07050</t>
  </si>
  <si>
    <t>SOPRO 投射燈-方形-7W36°</t>
  </si>
  <si>
    <t>開孔尺寸：55*55mm
尺寸：長67*寬67*高81mm
表面：黑色、白色
顯色指數（CRI）：Ra&gt;95
統一眩光等級（UGR）：UGR&lt;9
光束角度：36°
功率：7W
光通量：&gt;350lm
色溫範圍：2700K~6000K
調光：PWM數位調光
調光頻率：3.84kHz</t>
  </si>
  <si>
    <t>/uploads/product_images/DSZ07050.png</t>
  </si>
  <si>
    <t>DSZ07053</t>
  </si>
  <si>
    <t>SOPRO 投射燈-方形-7W15°</t>
  </si>
  <si>
    <t>開孔尺寸：55*55mm
尺寸：長67*寬67*高81mm
表面：黑色、白色
顯色指數（CRI）：Ra&gt;95
統一眩光等級（UGR）：UGR&lt;9
光束角度：15°
功率：7W
光通量：&gt;350lm
色溫範圍：2700K~6000K
調光：PWM數位調光
調光頻率：3.84kHz</t>
  </si>
  <si>
    <t>/uploads/product_images/DSZ07053.png</t>
  </si>
  <si>
    <t>DSZ07063</t>
  </si>
  <si>
    <t>SOPRO 投射燈-方形-7W24°(無框)</t>
  </si>
  <si>
    <t>開孔尺寸：55*55mm
尺寸：長78*寬78*高81mm
表面：黑色、白色
顯色指數（CRI）：Ra&gt;95
統一眩光等級（UGR）：UGR&lt;9
光束角度：24°
功率：7W
光通量：&gt;350lm
色溫範圍：2700K~6000K
調光：PWM數位調光
調光頻率：3.84kHz</t>
  </si>
  <si>
    <t>/uploads/product_images/DSZ07063.png</t>
  </si>
  <si>
    <t>DSZ07064</t>
  </si>
  <si>
    <t>SOPRO 投射燈-方形-7W36°(無框)</t>
  </si>
  <si>
    <t>開孔尺寸：55*55mm
尺寸：長78*寬78*高81mm
表面：黑色、白色
顯色指數（CRI）：Ra&gt;95
統一眩光等級（UGR）：UGR&lt;9
光束角度：36°
功率：7W
光通量：&gt;350lm
色溫範圍：2700K~6000K
調光：PWM數位調光
調光頻率：3.84kHz</t>
  </si>
  <si>
    <t>/uploads/product_images/DSZ07064.png</t>
  </si>
  <si>
    <t>DSZ07065</t>
  </si>
  <si>
    <t>SOPRO 投射燈-方形-7W15°(無框)</t>
  </si>
  <si>
    <t>開孔尺寸：55*55mm
尺寸：長78*寬78*高81mm
表面：黑色、白色
顯色指數（CRI）：Ra&gt;95
統一眩光等級（UGR）：UGR&lt;9
光束角度：15°
功率：7W
光通量：&gt;350lm
色溫範圍：2700K~6000K
調光：PWM數位調光
調光頻率：3.84kHz</t>
  </si>
  <si>
    <t>/uploads/product_images/DSZ07065.png</t>
  </si>
  <si>
    <t>DSZ07067</t>
  </si>
  <si>
    <t>SOPRO 投射燈-圓形-7W15°(無框)</t>
  </si>
  <si>
    <t>開孔尺寸：φ55mm
尺寸：φ78* H77mm
表面：黑色、白色
顯色指數（CRI）：Ra&gt;95
統一眩光等級（UGR）：UGR&lt;9
光束角度：15°
功率：7W
光通量：&gt;350lm
色溫範圍：2700K~6000K
調光：PWM數位調光
調光頻率：3.84kHz</t>
  </si>
  <si>
    <t>/uploads/product_images/DSZ07067.png</t>
  </si>
  <si>
    <t>開孔尺寸55mm</t>
  </si>
  <si>
    <t>DSZ07069</t>
  </si>
  <si>
    <t>SOPRO 投射燈-圓形-7W24°(無框)</t>
  </si>
  <si>
    <t>開孔尺寸：φ55mm
尺寸：φ78* H77mm
表面：黑色、白色
顯色指數（CRI）：Ra&gt;95
統一眩光等級（UGR）：UGR&lt;9
光束角度：24°
功率：7W
光通量：&gt;350lm
色溫範圍：2700K~6000K
調光：PWM數位調光
調光頻率：3.84kHz</t>
  </si>
  <si>
    <t>/uploads/product_images/DSZ07069.png</t>
  </si>
  <si>
    <t>DSZ07071</t>
  </si>
  <si>
    <t>SOPRO 投射燈-圓形-7W36°(無框)</t>
  </si>
  <si>
    <t>開孔尺寸：φ55mm
尺寸：φ78* H77mm
表面：黑色、白色
顯色指數（CRI）：Ra&gt;95
統一眩光等級（UGR）：UGR&lt;9
光束角度：36°
功率：7W
光通量：&gt;350lm
色溫範圍：2700K~6000K
調光：PWM數位調光
調光頻率：3.84kHz</t>
  </si>
  <si>
    <t>/uploads/product_images/DSZ07071.png</t>
  </si>
  <si>
    <t>DSZ12051</t>
  </si>
  <si>
    <t>SOPRO 投射燈-方形-12W24°</t>
  </si>
  <si>
    <t>開孔尺寸：75*75mm
尺寸：長85*寬85*高106mm
表面：黑色、白色
顯色指數（CRI）：Ra&gt;95
統一眩光等級（UGR）：UGR&lt;9
光束角度：24°
功率：12W
光通量：&gt;600lm
色溫範圍：2700K~6000K
調光：PWM數位調光
調光頻率：3.84kHz</t>
  </si>
  <si>
    <t>/uploads/product_images/DSZ12051.png</t>
  </si>
  <si>
    <t>開孔尺寸75*75mm</t>
  </si>
  <si>
    <t>DSZ12052</t>
  </si>
  <si>
    <t>SOPRO 投射燈-方形-12W36°</t>
  </si>
  <si>
    <t>開孔尺寸：75*75mm
尺寸：長85*寬85*高106mm
表面：黑色、白色
顯色指數（CRI）：Ra&gt;95
統一眩光等級（UGR）：UGR&lt;9
光束角度：36°
功率：12W
光通量：&gt;600lm
色溫範圍：2700K~6000K
調光：PWM數位調光
調光頻率：3.84kHz</t>
  </si>
  <si>
    <t>/uploads/product_images/DSZ12052.png</t>
  </si>
  <si>
    <t>DSZ12054</t>
  </si>
  <si>
    <t>SOPRO 投射燈-方形-12W15°</t>
  </si>
  <si>
    <t>開孔尺寸：75*75mm
尺寸：長85*寬85*高106mm
表面：黑色、白色
顯色指數（CRI）：Ra&gt;95
統一眩光等級（UGR）：UGR&lt;9
光束角度：15°
功率：12W
光通量：&gt;600lm
色溫範圍：2700K~6000K
調光：PWM數位調光
調光頻率：3.84kHz</t>
  </si>
  <si>
    <t>/uploads/product_images/DSZ12054.png</t>
  </si>
  <si>
    <t>DSZ12055</t>
  </si>
  <si>
    <t>SOPRO 投射燈-方形-12W24°(無框)</t>
  </si>
  <si>
    <t>開孔尺寸：75*75mm
尺寸：長100*寬100*高106mm
表面：黑色、白色
顯色指數（CRI）：Ra&gt;95
統一眩光等級（UGR）：UGR&lt;9
光束角度：24°
功率：12W
光通量：&gt;600lm
色溫範圍：2700K~6000K
調光：PWM數位調光
調光頻率：3.84kHz</t>
  </si>
  <si>
    <t>/uploads/product_images/DSZ12055.png</t>
  </si>
  <si>
    <t>DSZ12056</t>
  </si>
  <si>
    <t>SOPRO 投射燈-方形-12W36°(無框)</t>
  </si>
  <si>
    <t>開孔尺寸：75*75mm
尺寸：長100*寬100*高106mm
表面：黑色、白色
顯色指數（CRI）：Ra&gt;95
統一眩光等級（UGR）：UGR&lt;9
光束角度：36°
功率：12W
光通量：&gt;600lm
色溫範圍：2700K~6000K
調光：PWM數位調光
調光頻率：3.84kHz</t>
  </si>
  <si>
    <t>/uploads/product_images/DSZ12056.png</t>
  </si>
  <si>
    <t>DSZ12066</t>
  </si>
  <si>
    <t>SOPRO 投射燈-方形-12W15°(無框)</t>
  </si>
  <si>
    <t>開孔尺寸：75*75mm
尺寸：長100*寬100*高106mm
表面：黑色、白色
顯色指數（CRI）：Ra&gt;95
統一眩光等級（UGR）：UGR&lt;9
光束角度：15°
功率：12W
光通量：&gt;600lm
色溫範圍：2700K~6000K
調光：PWM數位調光
調光頻率：3.84kHz</t>
  </si>
  <si>
    <t>/uploads/product_images/DSZ12066.png</t>
  </si>
  <si>
    <t>DSZ12068</t>
  </si>
  <si>
    <t>SOPRO 投射燈-圓形-12W15°(無框)</t>
  </si>
  <si>
    <t>開孔尺寸：φ75mm
尺寸：φ100* H106mm
表面：黑色、白色
顯色指數（CRI）：Ra&gt;95
統一眩光等級（UGR）：UGR&lt;9
光束角度：15°
功率：12W
光通量：&gt;600lm
色溫範圍：2700K~6000K
調光：PWM數位調光
調光頻率：3.84kHz</t>
  </si>
  <si>
    <t>/uploads/product_images/DSZ12068.png</t>
  </si>
  <si>
    <t>開孔尺寸75mm</t>
  </si>
  <si>
    <t>DSZ12070</t>
  </si>
  <si>
    <t>SOPRO 投射燈-圓形-12W24°(無框)</t>
  </si>
  <si>
    <t>開孔尺寸：φ75mm
尺寸：φ100* H106mm
表面：黑色、白色
顯色指數（CRI）：Ra&gt;95
統一眩光等級（UGR）：UGR&lt;9
光束角度：24°
功率：12W
光通量：&gt;600lm
色溫範圍：2700K~6000K
調光：PWM數位調光
調光頻率：3.84kHz</t>
  </si>
  <si>
    <t>/uploads/product_images/DSZ12070.png</t>
  </si>
  <si>
    <t>DSZ12072</t>
  </si>
  <si>
    <t>SOPRO 投射燈-圓形-12W36°(無框)</t>
  </si>
  <si>
    <t>開孔尺寸：φ75mm
尺寸：φ100* H106mm
表面：黑色、白色
顯色指數（CRI）：Ra&gt;95
統一眩光等級（UGR）：UGR&lt;9
光束角度：36°
功率：12W
光通量：&gt;600lm
色溫範圍：2700K~6000K
調光：PWM數位調光
調光頻率：3.84kHz</t>
  </si>
  <si>
    <t>/uploads/product_images/DSZ12072.png</t>
  </si>
  <si>
    <t>DSZ12129</t>
  </si>
  <si>
    <t>電源供應器：AC220-240V 50Hz
尺寸：φ85*H103.5mm
開孔尺寸： φ75mm
光束角：36°
額定功率：12W
光通量：&gt;600lm
顯色指數&gt;90Ra
色溫範圍：1800K-20000K
RGBCW COB</t>
  </si>
  <si>
    <t>/uploads/product_images/DSZ12129.png</t>
  </si>
  <si>
    <t>DSZ12136</t>
  </si>
  <si>
    <t>電源供應器：AC220-240V 50Hz
尺寸：φ85*H95mm
開孔尺寸： φ75mm
光束角：70°
額定功率：12W
光通量：&gt;480lm
顯色指數&gt;90Ra
色溫範圍：1800K-20000K
RGBCW COB</t>
  </si>
  <si>
    <t>/uploads/product_images/DSZ12136.png</t>
  </si>
  <si>
    <t>DT40Z07A</t>
  </si>
  <si>
    <t>電源供應器：AC220V，50/60Hz
開孔尺寸：75~85mm
燈尺寸：96mm x 46mm
顯色指數：Ra&gt;90
光束角：24°
光通量：455 lm
功率：7瓦
色溫範圍：2700K~6000K</t>
  </si>
  <si>
    <t>/uploads/product_images/DT40Z07A.png</t>
  </si>
  <si>
    <t>開孔尺寸80mm</t>
  </si>
  <si>
    <t>DT40Z07B</t>
  </si>
  <si>
    <t>電源供應器：AC220V，50/60Hz
開孔尺寸：75~85mm
燈尺寸：96mm x 46mm
顯色指數：Ra&gt;90
光束角：105°
光通量：420 lm
功率：7瓦
色溫範圍：2700K~6000K</t>
  </si>
  <si>
    <t>/uploads/product_images/DT40Z07B.png</t>
  </si>
  <si>
    <t>DXW135148</t>
  </si>
  <si>
    <t>SKY DOME PRO</t>
  </si>
  <si>
    <t>/uploads/product_images/DXW135148.png</t>
  </si>
  <si>
    <t>DZZ08144</t>
  </si>
  <si>
    <t>電源供應器：220V-240V～50/60Hz
尺寸：L160mm*W82mm*H104mm
協定：Wi-Fi + BLE
顯色指數：Ra&gt;95
光束角：100°
額定功率：7W
亮度：1% - 100%
光通量：&gt;525Lm
色溫範圍：2700K~6000K</t>
  </si>
  <si>
    <t>/uploads/product_images/DZZ08144.png</t>
  </si>
  <si>
    <t>DZZ16145</t>
  </si>
  <si>
    <t>電源供應器：220V-240V～50/60Hz
尺寸：W250mm*H1560mm
協定：Wi-Fi + BLE
顯色指數：Ra&gt;95
光束角：100°
額定功率：15W
亮度：1% - 100%
光通量：&gt;1050lm
色溫範圍：2700K~6000K</t>
  </si>
  <si>
    <t>/uploads/product_images/DZZ16145.png</t>
  </si>
  <si>
    <t>DZZ45147</t>
  </si>
  <si>
    <t>SOPRO smart dining chandelier</t>
  </si>
  <si>
    <t>/uploads/product_images/DZZ45147.png</t>
  </si>
  <si>
    <t>GH-Mini</t>
  </si>
  <si>
    <t>台</t>
  </si>
  <si>
    <t>/uploads/product_images/GH-Mini.png</t>
  </si>
  <si>
    <t>MG-A
MG-B</t>
  </si>
  <si>
    <t>美規面板-白/黑</t>
  </si>
  <si>
    <t>MG-OV01B</t>
  </si>
  <si>
    <t>尺寸 : 120*82*38mm
開孔尺寸 : 72*55*35mm
電源 : AC110-240V 50~60Hz
最大功率 : 600W /切</t>
  </si>
  <si>
    <t>/uploads/product_images/MG-OV01B.png</t>
  </si>
  <si>
    <t>MG-OV01W</t>
  </si>
  <si>
    <t>/uploads/product_images/MG-OV01W.jpeg</t>
  </si>
  <si>
    <t>MG-OV02B</t>
  </si>
  <si>
    <t>尺寸 : 120*82*38mm
開孔尺寸 : 72*55*35mm
電源 : AC110-240V 50~60Hz
最大功率 : 300W /切</t>
  </si>
  <si>
    <t>/uploads/product_images/MG-OV02B.png</t>
  </si>
  <si>
    <t>MG-OV02W</t>
  </si>
  <si>
    <t>/uploads/product_images/MG-OV02W.png</t>
  </si>
  <si>
    <t>MG-OV03B</t>
  </si>
  <si>
    <t>尺寸 : 120*82*38mm
開孔尺寸 : 72*55*35mm
電源 : AC110-240V 50~60Hz
最大功率 : 200W /切</t>
  </si>
  <si>
    <t>/uploads/product_images/MG-OV03B.png</t>
  </si>
  <si>
    <t>MG-OV03SB</t>
  </si>
  <si>
    <t>尺寸 : 120*82*38mm
開孔尺寸 : 72*55*35mm
電源 : AC110-240V 50~60Hz</t>
  </si>
  <si>
    <t>/uploads/product_images/MG-OV03SB.png</t>
  </si>
  <si>
    <t>MG-OV03SW</t>
  </si>
  <si>
    <t>/uploads/product_images/MG-OV03SW.png</t>
  </si>
  <si>
    <t>MG-OV03W</t>
  </si>
  <si>
    <t>/uploads/product_images/MG-OV03W.png</t>
  </si>
  <si>
    <t>OLock</t>
  </si>
  <si>
    <t>把</t>
  </si>
  <si>
    <t>戶外尺寸：153*68*29.5mm
室內尺寸：173*72*51.5mm
支援門厚：35-55mm
電源供應：AA電池四個
無線：WiFi 802.11b/g/n
解鎖方式：密碼、單次臨時、APP遠端解鎖與實體鑰匙
自動上鎖與警報通報
(個案用，無消防測燒認證)</t>
  </si>
  <si>
    <t>/uploads/product_images/OLock.png</t>
  </si>
  <si>
    <t>S2</t>
  </si>
  <si>
    <t>尺寸：337*67*71.3mm
電源：DC 7.5V（5*2顆AA電池）
應急電源：DC 5V，C型
支援門板厚度：40~120mm（標準：50~90mm)
工作溫度：-20～60℃</t>
  </si>
  <si>
    <t>/uploads/product_images/S2.png</t>
  </si>
  <si>
    <t>SHOWCASE-T1</t>
  </si>
  <si>
    <t>座</t>
  </si>
  <si>
    <t>/uploads/product_images/SHOWCASE-T1.png</t>
  </si>
  <si>
    <t>T1-CB</t>
  </si>
  <si>
    <t>尺寸：336mm * 66mm * 70mm
電源：DC 7.5V（5 * 2pcs AA電池）
應急電源：DC 5V，Type C(USB 3.0)
支撐門厚度：40〜120mm（標準：50〜90mm）
工作溫度：-10〜50℃
支援：指紋、密碼、臨時密碼、感應卡、實體鑰匙
具備開關門顯示功能
(個案用，無消防測燒認證)
預計9月份停產
(停產)</t>
  </si>
  <si>
    <t>/uploads/product_images/T1-CB.png</t>
  </si>
  <si>
    <t>T30S3Z</t>
  </si>
  <si>
    <t>尺寸：90 * 86 * 38mm
電氣參數：AC250V，50 / 60Hz
工作溫度：-20〜60℃，-4〜140°F</t>
  </si>
  <si>
    <t>/uploads/product_images/T30S3Z.png</t>
  </si>
  <si>
    <t>T30W1Z</t>
  </si>
  <si>
    <t>尺寸：90 * 86 * 38mm
電氣參數：AC250V，50 / 60Hz
工作溫度：-20〜60℃，-4〜140°F
最大限度。負載：600W</t>
  </si>
  <si>
    <t>/uploads/product_images/T30W1Z.png</t>
  </si>
  <si>
    <t>T30W2Z</t>
  </si>
  <si>
    <t>尺寸：90 * 86 * 38mm
電氣參數：AC250V，50 / 60Hz
工作溫度：-20〜60℃，-4〜140°F
最大限度。負載：600W (每迴路)</t>
  </si>
  <si>
    <t>/uploads/product_images/T30W2Z.png</t>
  </si>
  <si>
    <t>T30W3Z</t>
  </si>
  <si>
    <t>尺寸：90 * 86 * 38mm
電氣參數：AC250V，50 / 60Hz
工作溫度：-20〜60℃，-4〜140°F
最大限度。負載：200W (每迴路)</t>
  </si>
  <si>
    <t>/uploads/product_images/T30W3Z.png</t>
  </si>
  <si>
    <t>TL-D-04</t>
  </si>
  <si>
    <t>Wifi 分享器 TP-link Mesh</t>
  </si>
  <si>
    <t>/uploads/product_images/TL-D-04.jpeg</t>
  </si>
  <si>
    <t>V36X</t>
  </si>
  <si>
    <t>電源供應器：AC100-240V，50/60Hz
L&amp;N連接
顏色: 白色
尺寸：86*86*35.8mm
內建開關：2組
最大負載：&lt;150W/迴​​路LED</t>
  </si>
  <si>
    <t>/uploads/product_images/V36X.png</t>
  </si>
  <si>
    <t>V5-W</t>
  </si>
  <si>
    <t>/uploads/product_images/V5-W.png</t>
  </si>
  <si>
    <t>W10</t>
  </si>
  <si>
    <t>尺寸：40*40*320mm
電源供應器：AC100-240V 50/60Hz
無線協定：Wi-Fi
窗簾桿長度：1.7M-3M</t>
  </si>
  <si>
    <t>/uploads/product_images/W10.png</t>
  </si>
  <si>
    <t>需提供110V插座</t>
  </si>
  <si>
    <t>W10G</t>
  </si>
  <si>
    <t>300*260 尚飛2.2mm加厚軌道</t>
  </si>
  <si>
    <t>W1218</t>
  </si>
  <si>
    <t>1.2-1.8m 伸縮軌道</t>
  </si>
  <si>
    <t>W1830</t>
  </si>
  <si>
    <t>1.8-3m 伸縮軌道</t>
  </si>
  <si>
    <t>W2340</t>
  </si>
  <si>
    <t>2.3-4m 伸縮軌道</t>
  </si>
  <si>
    <t>W2545</t>
  </si>
  <si>
    <t>2.5-4.5m 伸縮軌道</t>
  </si>
  <si>
    <t>主機</t>
  </si>
  <si>
    <t>GV10</t>
  </si>
  <si>
    <t>型號：GV10  
尺寸：86*86*38.4mm  
輸入：220V~，50Hz  
電源供應：L&amp;N連接  
燈具負載類型：LED/白熾燈/CFL  
負載：L1/L2&lt;400W/每切  
協定：WiFi 2.4GHz/5GHz、藍牙、RS-485、Zigbee  
操作環境：溫度0~45°C，濕度&lt;90%Rh</t>
  </si>
  <si>
    <t>/uploads/product_images/GV10.jpeg</t>
  </si>
  <si>
    <t>T54W3W</t>
  </si>
  <si>
    <t>Mixpad 精靈
（零火版）白色（不帶閘道）</t>
  </si>
  <si>
    <t>電源輸入1: Type-C, 5V - 1A 
電源輸入2：110V電源插座(內建插入式插頭)
顏色 : 灰 / 白
通訊協議：藍芽、ZigBee、WiFi與IR (此版本暫時限定品牌，無法複製內碼)
語系：部分繁中/部分簡中</t>
  </si>
  <si>
    <t>/uploads/product_images/T54W3W.png</t>
  </si>
  <si>
    <t>V20X</t>
  </si>
  <si>
    <t>Zigbee 多合一超級面板
（L&amp;N 連接）</t>
  </si>
  <si>
    <t>電源供應：AC220V  
顏色：灰色  
螢幕尺寸：4 寸  
內建開關：2切，200W/每迴</t>
  </si>
  <si>
    <t>/uploads/product_images/V20X.png</t>
  </si>
  <si>
    <t>需提供110V或220V電源
採用86底盒安裝(智崴提供)</t>
  </si>
  <si>
    <t>V38X</t>
  </si>
  <si>
    <t>MixPAD Mini M2 白
(L / N版本)</t>
  </si>
  <si>
    <t>電源供應：AC100-240V, 50/60Hz  
L&amp;N連接  
顏色：白色  
尺寸：86*86*35.8mm  
內建開關：4切  
最大負載：1/2每迴，400W/每迴；3/4每迴，200W/每迴</t>
  </si>
  <si>
    <t>/uploads/product_images/V38X.png</t>
  </si>
  <si>
    <t>V65X</t>
  </si>
  <si>
    <t>MixPad X</t>
  </si>
  <si>
    <t>電源供應器：AC100-240V，50/60Hz
L&amp;N連接
顏色：黑色
尺寸：317.1*154.7*40.7mm
螢幕尺寸：12.3英寸
內建開關：2組
最大負載：600W/迴路</t>
  </si>
  <si>
    <t>/uploads/product_images/V65X.png</t>
  </si>
  <si>
    <t>V70X</t>
  </si>
  <si>
    <t>MixPad D1</t>
  </si>
  <si>
    <t>電源供應器：AC100-120V，60Hz 
尺寸：4.12 x 1.75 x 1.80 英寸 
L&amp;N連接 
協定：2.4GHz Wi-Fi、藍牙4.0 
螢幕尺寸：1.9英寸 
最大負載：250W INC/HAL 120W LED/CFL 250W MLV/ELV</t>
  </si>
  <si>
    <t>/uploads/product_images/V70X.jpeg</t>
  </si>
  <si>
    <t>V80X</t>
  </si>
  <si>
    <t>MixPad 7 L&amp;N</t>
  </si>
  <si>
    <t>電源供應器：AC100-240V，50/60Hz
L&amp;N連接
顏色：黑色
尺寸：177.2×111.1×40.25毫米
螢幕尺寸：7英寸，1024 x 600P
內建開關：4位
最大負載：1/2迴路，400W/迴路； 3/4迴路，200W/迴路</t>
  </si>
  <si>
    <t>/uploads/product_images/V80X.png</t>
  </si>
  <si>
    <t>VS20ZW</t>
  </si>
  <si>
    <t>Mini主機</t>
  </si>
  <si>
    <t>尺寸：88*90*27mm
顏色：白色
外殼材質：PC
電源供應器：DC5V，1A，微型USB
工作溫度：0～40℃</t>
  </si>
  <si>
    <t>/uploads/product_images/VS20ZW.png</t>
  </si>
  <si>
    <t>使用110V電源
需提供實體網路</t>
  </si>
  <si>
    <t>安防設備</t>
  </si>
  <si>
    <t>CGZ05010</t>
  </si>
  <si>
    <t>人體狀態偵測器</t>
  </si>
  <si>
    <t>電源供應器：AC100-240V 50Hz
尺寸：φ80*φ65*H45mm
開孔尺寸： φ68mm
檢測角度：&lt;90°</t>
  </si>
  <si>
    <t>/uploads/product_images/CGZ05010.png</t>
  </si>
  <si>
    <t>開孔尺寸70mm</t>
  </si>
  <si>
    <t>SE30</t>
  </si>
  <si>
    <t>SOS無線緊急求救鈕-ZigBee</t>
  </si>
  <si>
    <t>尺寸：φ50*16毫米
電源：DC3V（CR2032電池）
工作溫度：-10～50℃</t>
  </si>
  <si>
    <t>/uploads/product_images/SE30.png</t>
  </si>
  <si>
    <t>SG30</t>
  </si>
  <si>
    <t>燃氣感應器-ZigBee</t>
  </si>
  <si>
    <t>尺寸：φ85*30mm
電源供應器：輸入AC220V，輸出：DC12V
備用電池：CR2032*1
待機電流：&lt;150mA
檢測氣體：甲烷</t>
  </si>
  <si>
    <t>/uploads/product_images/SG30.png</t>
  </si>
  <si>
    <t>SM20</t>
  </si>
  <si>
    <t>門窗磁感應器-ZigBee</t>
  </si>
  <si>
    <t>發射尺寸：52.6*26.5*13.8mm
磁鐵尺寸：25.5*12.5*13mm
顏色：白色
電源：DC3V CR2032電池
工作溫度：-10～50℃</t>
  </si>
  <si>
    <t>/uploads/product_images/SM20.png</t>
  </si>
  <si>
    <t>SN20</t>
  </si>
  <si>
    <t>人體感應器-ZigBee</t>
  </si>
  <si>
    <t>尺寸：48.4*53.4mm
顏色：白色
電源：DC3V CR123A
工作溫度：-10～50℃</t>
  </si>
  <si>
    <t>/uploads/product_images/SN20.png</t>
  </si>
  <si>
    <t>家電控制</t>
  </si>
  <si>
    <t>Allone Pro</t>
  </si>
  <si>
    <t>射頻控制器-WiFi版
(停產)</t>
  </si>
  <si>
    <t>控制電視、空調、投影機等射頻及紅外線電器。</t>
  </si>
  <si>
    <t>/uploads/product_images/Allone Pro.png</t>
  </si>
  <si>
    <t>CT20Z-B1GO</t>
  </si>
  <si>
    <t>Zigbee-IR遙控器</t>
  </si>
  <si>
    <t>電源：DC5V，1A，微型USB
尺寸：Φ110* 31mm
無線協議：zigbee
紅外頻率：2.4GHz
工作溫度：-20〜55℃
控制紅外設備。
支援學習功能。無內建紅外線內碼。</t>
  </si>
  <si>
    <t>/uploads/product_images/CT20Z-B1GO.jpeg</t>
  </si>
  <si>
    <t>CT30W</t>
  </si>
  <si>
    <t>小圓遙控器</t>
  </si>
  <si>
    <t>電源供應器：DC5V，1A，微型USB
尺寸：φ66*42.5mm
無線標準：Wi-Fi 2.4GHz b/g/n</t>
  </si>
  <si>
    <t>/uploads/product_images/CT30W.png</t>
  </si>
  <si>
    <t>CV70ZW</t>
  </si>
  <si>
    <t>AirMaster Max</t>
  </si>
  <si>
    <t>尺寸：105*86*35mm
電源：DC12V
工作溫度：0℃~40℃
工作濕度：20%-85%</t>
  </si>
  <si>
    <t>/uploads/product_images/CV70ZW.jpeg</t>
  </si>
  <si>
    <t>控制器</t>
  </si>
  <si>
    <t>CD10ZW</t>
  </si>
  <si>
    <t>感應器控制盒</t>
  </si>
  <si>
    <t>尺寸：70*70*23mm
電氣參數：DC12V
工作溫度：-15～45℃
最大限度。負載：1A（每環）</t>
  </si>
  <si>
    <t>/uploads/product_images/CD10ZW.png</t>
  </si>
  <si>
    <t>需提供110V電源</t>
  </si>
  <si>
    <t>CM10ZW</t>
  </si>
  <si>
    <t>多功能控制盒</t>
  </si>
  <si>
    <t>尺寸：70*70*23mm
電氣參數：AC100V-240V，50/60Hz
工作溫度：-20～60℃
最大限度。負載：1A（每環）</t>
  </si>
  <si>
    <t>/uploads/product_images/CM10ZW.png</t>
  </si>
  <si>
    <t>需提供110V電源
被控制設備需有4線式乾接點控制線</t>
  </si>
  <si>
    <t>智慧門鎖</t>
  </si>
  <si>
    <t>C1</t>
  </si>
  <si>
    <t>智慧門鎖C1-WiFi版(國際)</t>
  </si>
  <si>
    <t>尺寸：352mm*70mm*67mm
電源：DC 6V（4顆AA電池）
應急電源：DC 5V，C型
支援門板厚度：40~120mm（標準：50~90mm)
工作溫度：-20～60℃</t>
  </si>
  <si>
    <t>/uploads/product_images/C1.png</t>
  </si>
  <si>
    <t>C1-70C</t>
  </si>
  <si>
    <t>C1 7cm 鎖夾</t>
  </si>
  <si>
    <t>個</t>
  </si>
  <si>
    <t>/uploads/product_images/C1-70C.png</t>
  </si>
  <si>
    <t>SHOWCASE-C1</t>
  </si>
  <si>
    <t>C1展示架</t>
  </si>
  <si>
    <t>/uploads/product_images/SHOWCASE-C1.png</t>
  </si>
  <si>
    <t>SHOWCASE-V5</t>
  </si>
  <si>
    <t>V5展示架</t>
  </si>
  <si>
    <t>V5</t>
  </si>
  <si>
    <t>人臉辨識門鎖V5(黑)</t>
  </si>
  <si>
    <t>電源：鋰電池：DC 7.4V，乾電池：DC 9V 
電池類型：5000mAh（7.4V）電池，6*AA電池（6顆/組） 
緊急電源：DC 5V（Type C介面） 
尺寸：室外及室內面板：403 * 70 * 56mm 
開鎖方式：人臉辨識、指紋、密碼、卡片、Android手機NFC、遠端授權、視訊授權、MixPad開鎖、機械鑰匙 
用戶：1 * 管理員、49 * 普通用戶、4 * 臨時用戶</t>
  </si>
  <si>
    <t>/uploads/product_images/V5.jpeg</t>
  </si>
  <si>
    <t>燈光控制</t>
  </si>
  <si>
    <t>A10</t>
  </si>
  <si>
    <t>1-gang US WiFi on/off switch</t>
  </si>
  <si>
    <t>尺寸：4.21*1.73*1.61 英寸
電源供應器：AC100-240V，50/60Hz
最大限度。負載：500W INC、250W LED 或 CFL</t>
  </si>
  <si>
    <t>/uploads/product_images/A10.jpeg</t>
  </si>
  <si>
    <t>A10 KIT</t>
  </si>
  <si>
    <t>1-gang US WiFi switch + 1 remote switch</t>
  </si>
  <si>
    <t>尺寸：4.21*1.73*1.61 英寸
電源供應器：AC100-240V，50/60Hz
最大限度。負載：500W INC、250W LED 或 CFL
尺寸：2.56*1.3*0.63 英寸
工作電壓：自供電DC3.3V</t>
  </si>
  <si>
    <t>/uploads/product_images/A10 KIT.jpeg</t>
  </si>
  <si>
    <t>A11 KIT</t>
  </si>
  <si>
    <t>1-gang US WiFi Dimmer  switch + 1 remote switch</t>
  </si>
  <si>
    <t>尺寸：4.21*1.73*1.61 英寸
電源供應器：AC100-120V，50/60Hz
最大限度。負載：300W INC、200W LED 或 CFL
尺寸：2.56*1.3*0.63 英寸
工作電壓：自供電DC3.3V</t>
  </si>
  <si>
    <t>/uploads/product_images/A11 KIT.jpeg</t>
  </si>
  <si>
    <t>AH01</t>
  </si>
  <si>
    <t>歐規金屬入牆底盒</t>
  </si>
  <si>
    <t>尺寸：89.6 x 86 毫米</t>
  </si>
  <si>
    <t>/uploads/product_images/AH01.jpeg</t>
  </si>
  <si>
    <t>CC10ZW</t>
  </si>
  <si>
    <t>RGB控制器</t>
  </si>
  <si>
    <t>尺寸：70*70*23mm
電氣參數：DC12V/DC24V
工作溫度：-20～60℃
最大限度。負載：10A</t>
  </si>
  <si>
    <t>/uploads/product_images/CC10ZW.png</t>
  </si>
  <si>
    <t>D10W4</t>
  </si>
  <si>
    <t>MixSwitch 黛菲
四切智慧開關-白</t>
  </si>
  <si>
    <t>尺寸：92.5 x 86 x 35.25 毫米
顏色: 灰色
電源供應器：AC100-240V，50/60Hz
最大限度。負載：400W/路（四路合計小於1200W）</t>
  </si>
  <si>
    <t>/uploads/product_images/D10W4.png</t>
  </si>
  <si>
    <t>DM10ZW</t>
  </si>
  <si>
    <t>0-10V調光模組</t>
  </si>
  <si>
    <t>尺寸：168*39.5*30mm
電源供應器：AC100-240V，50/60Hz
調光：0-10V恆定電流調光</t>
  </si>
  <si>
    <t>/uploads/product_images/DM10ZW.png</t>
  </si>
  <si>
    <t>需配置訊號線</t>
  </si>
  <si>
    <t>DV10</t>
  </si>
  <si>
    <t>MixSwitch 黛菲
三切+面板智慧開關-白</t>
  </si>
  <si>
    <t>尺寸：92.5 x 86 x 38.9 毫米
顏色: 灰色
電源供應器：AC220V，50Hz
螢幕尺寸：2.41吋（只有一個螢幕）
最大限度。負載：1/2迴路&lt;400W/迴路； 3迴路&lt;200W</t>
  </si>
  <si>
    <t>/uploads/product_images/DV10.png</t>
  </si>
  <si>
    <t>R21W2Z</t>
  </si>
  <si>
    <t>入牆式開關模組
ZigBee(單火)</t>
  </si>
  <si>
    <t>尺寸：50.5*46*18mm
電氣參數：AC 110V-240V 50Hz/60Hz
無線協定：Zigbee HA
工作溫度：-20～60℃
最大限度。負載：白熾燈/鹵素燈：200W
LED/螢光燈：100W
2路開關連接</t>
  </si>
  <si>
    <t>/uploads/product_images/R21W2Z.png</t>
  </si>
  <si>
    <t>R30W3Z</t>
  </si>
  <si>
    <t>入牆式開關模組
ZigBee (中性線)</t>
  </si>
  <si>
    <t>尺寸：64*48*23mm 
電氣參數：AC 110-240V 50Hz
無線協定：Zigbee HA
工作溫度：-20～60℃
最大限度。負載：400W/迴路
3路開關，1個場景按鈕連接</t>
  </si>
  <si>
    <t>/uploads/product_images/R30W3Z.png</t>
  </si>
  <si>
    <t>需提供零線(N)-白線</t>
  </si>
  <si>
    <t>R40W2Z</t>
  </si>
  <si>
    <t>入牆式開關模組
WiFi</t>
  </si>
  <si>
    <t>尺寸：50*46*18mm 2 件
電氣參數：AC 110V-240V 50Hz/60Hz
無線協定：2.4G Wi-Fi
工作溫度：0～50℃
最大限度。負載：白熾燈/鹵素燈：300W
LED/螢光燈：150W</t>
  </si>
  <si>
    <t>/uploads/product_images/R40W2Z.png</t>
  </si>
  <si>
    <t>T40S6Z</t>
  </si>
  <si>
    <t>智慧隨意貼遙控器-灰</t>
  </si>
  <si>
    <t>尺寸：86*86*10mm
電源：DC3V（CR2032電池）
工作溫度：-20℃~60℃
工作濕度：&lt;80%</t>
  </si>
  <si>
    <t>/uploads/product_images/T40S6Z.png</t>
  </si>
  <si>
    <t>T40S6ZG</t>
  </si>
  <si>
    <t>智慧隨意貼遙控器-金
(停產)</t>
  </si>
  <si>
    <t>/uploads/product_images/T40S6ZG.png</t>
  </si>
  <si>
    <t>T40S6ZW</t>
  </si>
  <si>
    <t>智慧隨意貼遙控器-白
(停產)</t>
  </si>
  <si>
    <t>/uploads/product_images/T40S6ZW.png</t>
  </si>
  <si>
    <t>T40W1Z</t>
  </si>
  <si>
    <t>MixSwitch 開關一切-灰</t>
  </si>
  <si>
    <t>尺寸：86*86*32mm
電源供應器：AC110-250V，50/60Hz
最大限度。負載：400W/組
工作溫度：-20℃~60℃
工作濕度：&lt;80%</t>
  </si>
  <si>
    <t>/uploads/product_images/T40W1Z.png</t>
  </si>
  <si>
    <t>T40W1ZG</t>
  </si>
  <si>
    <t>MixSwitch 開關一切-金</t>
  </si>
  <si>
    <t>/uploads/product_images/T40W1ZG.png</t>
  </si>
  <si>
    <t>T40W1ZW</t>
  </si>
  <si>
    <t>MixSwitch 開關一切-白</t>
  </si>
  <si>
    <t>/uploads/product_images/T40W1ZW.png</t>
  </si>
  <si>
    <t>T40W2Z</t>
  </si>
  <si>
    <t>MixSwitch 開關二切-灰</t>
  </si>
  <si>
    <t>/uploads/product_images/T40W2Z.png</t>
  </si>
  <si>
    <t>T40W2ZG</t>
  </si>
  <si>
    <t>MixSwitch 開關二切-金</t>
  </si>
  <si>
    <t>/uploads/product_images/T40W2ZG.png</t>
  </si>
  <si>
    <t>T40W2ZW</t>
  </si>
  <si>
    <t>MixSwitch 開關二切-白</t>
  </si>
  <si>
    <t>/uploads/product_images/T40W2ZW.png</t>
  </si>
  <si>
    <t>T40W3Z</t>
  </si>
  <si>
    <t>MixSwitch 開關三切-灰</t>
  </si>
  <si>
    <t>/uploads/product_images/T40W3Z.png</t>
  </si>
  <si>
    <t>T40W3ZG</t>
  </si>
  <si>
    <t>MixSwitch 開關三切-金</t>
  </si>
  <si>
    <t>/uploads/product_images/T40W3ZG.png</t>
  </si>
  <si>
    <t>T40W3ZW</t>
  </si>
  <si>
    <t>MixSwitch 開關三切-白</t>
  </si>
  <si>
    <t>/uploads/product_images/T40W3ZW.png</t>
  </si>
  <si>
    <t>T40W4Z</t>
  </si>
  <si>
    <t>MixSwitch 開關四切-灰</t>
  </si>
  <si>
    <t>尺寸：86*86*33mm
電源供應器：AC110-250V，50Hz
最大限度。負載：400W/組
工作溫度：-20℃~60℃
工作濕度：&lt;80%</t>
  </si>
  <si>
    <t>/uploads/product_images/T40W4Z.png</t>
  </si>
  <si>
    <t>T40W4ZG</t>
  </si>
  <si>
    <t>MixSwitch 開關四切-金</t>
  </si>
  <si>
    <t>/uploads/product_images/T40W4ZG.png</t>
  </si>
  <si>
    <t>T40W4ZW</t>
  </si>
  <si>
    <t>MixSwitch 開關四切-白</t>
  </si>
  <si>
    <t>/uploads/product_images/T40W4ZW.png</t>
  </si>
  <si>
    <t>T60W1Z</t>
  </si>
  <si>
    <t>高斯智能開關 MixSwitch Gauss(一切灰色)</t>
  </si>
  <si>
    <t>尺寸：86*86*38.3mm
電源供應器：AC110-250V，50/60Hz
最大限度。負載：800W/組
工作溫度：0℃~45℃
工作濕度：&lt;90RH</t>
  </si>
  <si>
    <t>/uploads/product_images/T60W1Z.jpeg</t>
  </si>
  <si>
    <t>T60W2Z</t>
  </si>
  <si>
    <t>高斯智能開關 MixSwitch Gauss(二切灰色)</t>
  </si>
  <si>
    <t>尺寸：86*86*38.3mm
電源供應器：AC110-250V，50/60Hz
最大限度。負載：800W/路（兩路合計小於1200W）
工作溫度：0℃~45℃
工作濕度：&lt;90RH</t>
  </si>
  <si>
    <t>/uploads/product_images/T60W2Z.jpeg</t>
  </si>
  <si>
    <t>T60W3Z</t>
  </si>
  <si>
    <t>高斯智能開關 MixSwitch Gauss(三切灰色)</t>
  </si>
  <si>
    <t>尺寸：86*86*38.3mm
電源供應器：AC110-250V，50/60Hz
最大限度。負載：800W/路（三迴路合計小於1200W）
工作溫度：0℃~45℃
工作濕度：&lt;90RH</t>
  </si>
  <si>
    <t>/uploads/product_images/T60W3Z.jpeg</t>
  </si>
  <si>
    <t>T70S3ZB</t>
  </si>
  <si>
    <t>美規情景開關Pro-黑
(預計2025年7月停產)</t>
  </si>
  <si>
    <t>輸入：100-265V~,50/60Hz
尺寸：120mm*72mm*34mm
協議：ZigBee 3.0
溫濕度：-10℃~50℃，&lt;90% RH</t>
  </si>
  <si>
    <t>/uploads/product_images/T70S3ZB.png</t>
  </si>
  <si>
    <t>T70S3ZW</t>
  </si>
  <si>
    <t>美規情景開關Pro-白
(預計2025年7月停產)</t>
  </si>
  <si>
    <t>/uploads/product_images/T70S3ZW.png</t>
  </si>
  <si>
    <t>T70W1ZB</t>
  </si>
  <si>
    <t>美規一開Pro-黑</t>
  </si>
  <si>
    <t>輸入：100-265V~,50/60Hz
最大負載：&lt;400w
尺寸：120mm*72mm*34mm
顏色：黑色
協議：ZigBee 3.0
溫濕度：-10℃~50℃，&lt;90% RH</t>
  </si>
  <si>
    <t>/uploads/product_images/T70W1ZB.png</t>
  </si>
  <si>
    <t>T70W1ZW</t>
  </si>
  <si>
    <t>美規一開Pro-白</t>
  </si>
  <si>
    <t>輸入：100-265V~,50/60Hz
最大負載：&lt;400w
尺寸：120mm*72mm*34mm
顏色: 白色
協議：ZigBee 3.0
溫濕度：-10℃~50℃，&lt;90% RH</t>
  </si>
  <si>
    <t>/uploads/product_images/T70W1ZW.png</t>
  </si>
  <si>
    <t>T70W2ZB</t>
  </si>
  <si>
    <t>美規二開Pro-黑</t>
  </si>
  <si>
    <t>輸入：100-265V~,50/60Hz
最大負載：&lt;400w/迴路
尺寸：120mm*72mm*34mm
顏色：黑色
協議：ZigBee 3.0
溫濕度：-10℃~50℃，&lt;90% RH</t>
  </si>
  <si>
    <t>/uploads/product_images/T70W2ZB.png</t>
  </si>
  <si>
    <t>T70W2ZW</t>
  </si>
  <si>
    <t>美規二開Pro-白</t>
  </si>
  <si>
    <t>輸入：100-265V~,50/60Hz
最大負載：&lt;400w/迴路
尺寸：120mm*72mm*34mm
顏色: 白色
協議：ZigBee 3.0
溫濕度：-10℃~50℃，&lt;90% RH</t>
  </si>
  <si>
    <t>/uploads/product_images/T70W2ZW.png</t>
  </si>
  <si>
    <t>T70W3ZB</t>
  </si>
  <si>
    <t>美規三開Pro-黑</t>
  </si>
  <si>
    <t>/uploads/product_images/T70W3ZB.png</t>
  </si>
  <si>
    <t>T70W3ZW</t>
  </si>
  <si>
    <t>美規三開Pro-白</t>
  </si>
  <si>
    <t>/uploads/product_images/T70W3ZW.png</t>
  </si>
  <si>
    <t>燈具類</t>
  </si>
  <si>
    <t>D-12W-1715</t>
  </si>
  <si>
    <t>崁燈-17cm-單色</t>
  </si>
  <si>
    <t>功耗12W、電源36V、0-10V控制
燈珠12C2B
色溫3000、4500、6000K
光通量90/lmw
CRI&gt;=80
光射角120°
外徑尺寸 175mm
開孔尺寸 150mm
不含電源</t>
  </si>
  <si>
    <t>/uploads/product_images/D-12W-1715.png</t>
  </si>
  <si>
    <t>開孔尺寸150mm</t>
  </si>
  <si>
    <t>D-2C-D3W-4835</t>
  </si>
  <si>
    <t>投射燈-5cm-單色</t>
  </si>
  <si>
    <t>迷你COB弧面、0-10V控制
功耗3W、電源9V
輸入電流250MA
色溫3000、4500、6000K
外徑尺寸 48mm
開孔尺寸 35mm
可調角度</t>
  </si>
  <si>
    <t>/uploads/product_images/D-2C-D3W-4835.png</t>
  </si>
  <si>
    <t>開孔尺寸35mm</t>
  </si>
  <si>
    <t>D-2C-D3W-7055</t>
  </si>
  <si>
    <t>投射燈-7cm-單色</t>
  </si>
  <si>
    <t>雙色COB、0-10V控制
功耗3W、電源9V
輸入電流250MA
色溫3000、4500、6000K
外徑尺寸 70mm
開孔尺寸 55mm
可調角度</t>
  </si>
  <si>
    <t>/uploads/product_images/D-2C-D3W-7055.png</t>
  </si>
  <si>
    <t>DCZ08131</t>
  </si>
  <si>
    <t>智能磁吸格栅灯 8W</t>
  </si>
  <si>
    <t>電源： DC48V 50Hz
尺寸：207.5 * 22 * 25mm
視角：70°±3°
額定功率：15W
CRI&gt;90Ra
色溫範圍：2700K-6000K</t>
  </si>
  <si>
    <t>/uploads/product_images/DCZ08131.png</t>
  </si>
  <si>
    <t>DCZ08132</t>
  </si>
  <si>
    <t>Zigbee 磁性線性燈 8W</t>
  </si>
  <si>
    <t>電源： DC48V 50Hz
尺寸：207.5 * 22 * 25mm
視角：110°±3°
額定功率：15W
CRI＞90Ra
色溫範圍：2700K-6000K</t>
  </si>
  <si>
    <t>/uploads/product_images/DCZ08132.png</t>
  </si>
  <si>
    <t>DCZ08133</t>
  </si>
  <si>
    <t>Zigbee LED 磁軌射燈 8W</t>
  </si>
  <si>
    <t>電源： DC48V 50Hz
尺寸：Φ38 * 94毫米
視角：24°±3°
額定功率：8W
CRI＞90Ra
色溫範圍：2700K-6000K</t>
  </si>
  <si>
    <t>/uploads/product_images/DCZ08133.png</t>
  </si>
  <si>
    <t>DCZ15131</t>
  </si>
  <si>
    <t>智能磁吸格栅灯 15W</t>
  </si>
  <si>
    <t>電源： DC48V 50Hz
尺寸：410 * 22 * 25mm
視角：70°±3°
額定功率：15W
CRI&gt;90Ra
色溫範圍：2700K-6000K</t>
  </si>
  <si>
    <t>/uploads/product_images/DCZ15131.png</t>
  </si>
  <si>
    <t>DCZ15132</t>
  </si>
  <si>
    <t>Zigbee 磁性線性燈 15W</t>
  </si>
  <si>
    <t>電源： DC48V 50Hz
尺寸：410 * 22 * 25mm
視角：110°±3°
額定功率：15W
CRI＞90Ra
色溫範圍：2700K-6000K</t>
  </si>
  <si>
    <t>/uploads/product_images/DCZ15132.png</t>
  </si>
  <si>
    <t>DCZ15133</t>
  </si>
  <si>
    <t>Zigbee LED 磁軌射燈 15W</t>
  </si>
  <si>
    <t>電源： DC48V 50Hz
尺寸：Φ60*110mm
視角：24°±3°
額定功率：15W
CRI＞90Ra
色溫範圍：2700K-6000K</t>
  </si>
  <si>
    <t>/uploads/product_images/DCZ15133.png</t>
  </si>
  <si>
    <t>DD10Z05A</t>
  </si>
  <si>
    <t>智慧磁性枝形吊燈 S2 
（蠟燭形狀 1 燈）</t>
  </si>
  <si>
    <t>電源： DC48V 50Hz
燈具尺寸：發光面直徑50mm，高度：1200mm（可調）
顯色指數：Ra&gt;93
發光角度：14°
功率：5w，
色溫範圍：2700K~6000K</t>
  </si>
  <si>
    <t>/uploads/product_images/DD10Z05A.png</t>
  </si>
  <si>
    <t>DD10Z06B</t>
  </si>
  <si>
    <t>智慧磁性圓形枝形吊燈S2</t>
  </si>
  <si>
    <t>電源： DC48V 50Hz
燈具尺寸：發光表面直徑100mm
顯色指數：Ra&gt;93
發光角度：140°
功率：6w
色溫範圍：2700K~6000K</t>
  </si>
  <si>
    <t>/uploads/product_images/DD10Z06B.png</t>
  </si>
  <si>
    <t>DD10Z15A</t>
  </si>
  <si>
    <t>智慧磁性枝形吊燈 S2
 （蠟燭形狀 3 燈）</t>
  </si>
  <si>
    <t>電源： DC48V 50Hz
燈具尺寸：發光表面直徑50mm，總長222mm，高度：1200mm（可調）
顯色指數：Ra&gt;93
發光角度：14°
功率：5w，（三頭型號5W * 3）
色溫範圍：2700K~6000K</t>
  </si>
  <si>
    <t>/uploads/product_images/DD10Z15A.png</t>
  </si>
  <si>
    <t>DD20Z-05</t>
  </si>
  <si>
    <t>崁燈-80
(ZigBee)
(停產)</t>
  </si>
  <si>
    <t>尺寸：90*61mm
開孔尺寸：75mm
電源供應器：AC100V-240V，50/60Hz
額定功率：5W
光通量：400流明
色溫範圍：2700K-6500K</t>
  </si>
  <si>
    <t>/uploads/product_images/DD20Z-05.png</t>
  </si>
  <si>
    <t>DG10DA</t>
  </si>
  <si>
    <t>Zigbee 磁軌 2m</t>
  </si>
  <si>
    <t>A型軌道
尺寸：27*52*2000毫米</t>
  </si>
  <si>
    <t>/uploads/product_images/DG10DA.png</t>
  </si>
  <si>
    <t>DG10DB</t>
  </si>
  <si>
    <t>Zigbee LED 磁軌，帶側翼 2M</t>
  </si>
  <si>
    <t>B型
尺寸：27*52*2000毫米</t>
  </si>
  <si>
    <t>/uploads/product_images/DG10DB.png</t>
  </si>
  <si>
    <t>DG10DI</t>
  </si>
  <si>
    <t>Zigbee LED 軌道連接器 （I）</t>
  </si>
  <si>
    <t>不含訊號端子的 I 型連接器</t>
  </si>
  <si>
    <t>/uploads/product_images/DG10DI.png</t>
  </si>
  <si>
    <t>DG10DJ</t>
  </si>
  <si>
    <t>用於電源的 Zigbee LED 軌道連接器</t>
  </si>
  <si>
    <t>輸入電壓：DC48v
連接協力廠商電源</t>
  </si>
  <si>
    <t>/uploads/product_images/DG10DJ.png</t>
  </si>
  <si>
    <t>DG10DL</t>
  </si>
  <si>
    <t>Zigbee LED 軌道連接器 （L）</t>
  </si>
  <si>
    <t>L 型連接器，不含訊號端子</t>
  </si>
  <si>
    <t>/uploads/product_images/DG10DL.png</t>
  </si>
  <si>
    <t>DG10DN</t>
  </si>
  <si>
    <t>Zigbee LED 軌道連接器 （內L）</t>
  </si>
  <si>
    <t>內角</t>
  </si>
  <si>
    <t>/uploads/product_images/DG10DN.png</t>
  </si>
  <si>
    <t>DG10DP</t>
  </si>
  <si>
    <t>Zigbee LED 軌道連接器 （水準L）</t>
  </si>
  <si>
    <t>水準旋轉轉角</t>
  </si>
  <si>
    <t>/uploads/product_images/DG10DP.png</t>
  </si>
  <si>
    <t>DG10DW</t>
  </si>
  <si>
    <t>Zigbee LED 軌道連接器 （外L）</t>
  </si>
  <si>
    <t>外角</t>
  </si>
  <si>
    <t>/uploads/product_images/DG10DW.png</t>
  </si>
  <si>
    <t>DG10DX</t>
  </si>
  <si>
    <t>Zigbee LED 軌道吊墜線</t>
  </si>
  <si>
    <t>長度：1m</t>
  </si>
  <si>
    <t>/uploads/product_images/DG10DX.png</t>
  </si>
  <si>
    <t>DG10Z12B</t>
  </si>
  <si>
    <t>智慧磁性摺疊格柵燈12W S2</t>
  </si>
  <si>
    <t>電源： DC48V 50Hz
燈具尺寸：222 毫米 x 22.5 毫米 x 110 毫米
顯色指數：Ra&gt;93
發光角度：24°
功率：12w
色溫範圍：2700K~6000K</t>
  </si>
  <si>
    <t>/uploads/product_images/DG10Z12B.png</t>
  </si>
  <si>
    <t>DG20DNB</t>
  </si>
  <si>
    <t>磁性燈 L 型連接器 B（內角）</t>
  </si>
  <si>
    <t>/uploads/product_images/DG20DNB.png</t>
  </si>
  <si>
    <t>DG20DPB</t>
  </si>
  <si>
    <t>磁性燈 L 型連接器 B（平角）</t>
  </si>
  <si>
    <t>/uploads/product_images/DG20DPB.png</t>
  </si>
  <si>
    <t>DG20DWB</t>
  </si>
  <si>
    <t>磁性燈 L 型連接器 B（外角）</t>
  </si>
  <si>
    <t>出角</t>
  </si>
  <si>
    <t>/uploads/product_images/DG20DWB.png</t>
  </si>
  <si>
    <t>DM010-12W</t>
  </si>
  <si>
    <t>0-10V 單色電源</t>
  </si>
  <si>
    <t>0-10V調光電源
電源輸入85~265V
電源輸出9-42V
電流300MA</t>
  </si>
  <si>
    <t>/uploads/product_images/DM010-12W.jpeg</t>
  </si>
  <si>
    <t>DS20Z-06</t>
  </si>
  <si>
    <t>投射燈-80
(ZigBee)
(停產)</t>
  </si>
  <si>
    <t>尺寸：85*61mm
開孔尺寸：75mm
電源供應器：AC100V-240V，50/60Hz
額定功率：6W
光通量：500 lm
色溫範圍：2700K-6500K</t>
  </si>
  <si>
    <t>/uploads/product_images/DS20Z-06.png</t>
  </si>
  <si>
    <t>DSN09462</t>
  </si>
  <si>
    <t>高斯深防眩射燈Q10(9W 24°4000K)</t>
  </si>
  <si>
    <t>Gauss Spotlight Q10(9W 24°4000K)</t>
  </si>
  <si>
    <t>/uploads/product_images/DSN09462.jpeg</t>
  </si>
  <si>
    <t>DSN09463</t>
  </si>
  <si>
    <t>高斯深防眩射燈Q10(9W 36°4000K)</t>
  </si>
  <si>
    <t>Gauss Spotlight Q10(9W 36°4000K)</t>
  </si>
  <si>
    <t>/uploads/product_images/DSN09463.jpeg</t>
  </si>
  <si>
    <t>DSZ06286</t>
  </si>
  <si>
    <t>智能投射燈 S0（6W）
需配置Mixpad 使用</t>
  </si>
  <si>
    <t>尺寸：88*80mm
開孔尺寸：75mm
電源供應器：AC100V-240V，50/60Hz
額定功率：6W
光通量：400 lm
色溫範圍：2700K-6500K</t>
  </si>
  <si>
    <t>/uploads/product_images/DSZ06286.jpeg</t>
  </si>
  <si>
    <t>DSZ07156</t>
  </si>
  <si>
    <t>超薄智能射燈 S3（7W 24°）
需配置Mixpad 使用</t>
  </si>
  <si>
    <t>電源：AC100-240V，50/60Hz
尺寸：直徑85mm x 高44mm
開孔尺寸：直徑75mm
顯色指數：Ra&gt;90
防眩光指數：UGR&lt;12
光束角：24°
光通量：490lm
功率：7W
色溫範圍：2700K~6000K</t>
  </si>
  <si>
    <t>/uploads/product_images/DSZ07156.jpeg</t>
  </si>
  <si>
    <t>DSZ07157</t>
  </si>
  <si>
    <t>超薄智能射燈 S3（7W 36°）
需配置Mixpad 使用</t>
  </si>
  <si>
    <t>電源：AC100-240V，50/60Hz
尺寸：直徑85mm x 高44mm
開孔尺寸：直徑75mm
顯色指數：Ra&gt;90
防眩光指數：UGR&lt;12
光束角：36°
光通量：490lm
功率：7W
色溫範圍：2700K~6000K</t>
  </si>
  <si>
    <t>/uploads/product_images/DSZ07157.jpeg</t>
  </si>
  <si>
    <t>DSZ07158</t>
  </si>
  <si>
    <t>防眩智能射燈 S3（7W 24°）
需配置Mixpad 使用</t>
  </si>
  <si>
    <t>電源：AC100-240V，50/60Hz
尺寸：直徑85mm x 高69mm
開孔尺寸：直徑75mm
顯色指數：Ra&gt;90
防眩光指數：UGR&lt;9
光束角：24°
光通量：490lm
功率：7W
色溫範圍：2700K~6000K</t>
  </si>
  <si>
    <t>/uploads/product_images/DSZ07158.jpeg</t>
  </si>
  <si>
    <t>DSZ07159</t>
  </si>
  <si>
    <t>防眩智能射燈 S3（7W 36°）
需配置Mixpad 使用</t>
  </si>
  <si>
    <t>電源：AC100-240V，50/60Hz
尺寸：直徑85mm x 高69mm
開孔尺寸：直徑75mm
顯色指數：Ra&gt;90
防眩光指數：UGR&lt;9
光束角：36°
光通量：490lm
功率：7W
色溫範圍：2700K~6000K</t>
  </si>
  <si>
    <t>/uploads/product_images/DSZ07159.jpeg</t>
  </si>
  <si>
    <t>DSZ07183</t>
  </si>
  <si>
    <t>SOPRO 投射燈-圓形-7W15°
(停產)</t>
  </si>
  <si>
    <t>開孔尺寸：φ55mm
尺寸：φ67* H77mm
表面：黑色、白色
顯色指數（CRI）：Ra&gt;95
統一眩光等級（UGR）：UGR&lt;9
光束角度：15°
功率：7W
光通量：&gt;350lm
色溫範圍：2700K~6000K
調光：PWM數位調光
調光頻率：3.84kHz</t>
  </si>
  <si>
    <t>/uploads/product_images/DSZ07183.png</t>
  </si>
  <si>
    <t>DSZ07184</t>
  </si>
  <si>
    <t>SOPRO 投射燈-圓形-7W24°
(停產)</t>
  </si>
  <si>
    <t>開孔尺寸：φ55mm
尺寸：φ67* H77mm
表面：黑色、白色
顯色指數（CRI）：Ra&gt;95
統一眩光等級（UGR）：UGR&lt;9
光束角度：24°
功率：7W
光通量：&gt;350lm
色溫範圍：2700K~6000K
調光：PWM數位調光
調光頻率：3.84kHz</t>
  </si>
  <si>
    <t>/uploads/product_images/DSZ07184.png</t>
  </si>
  <si>
    <t>DSZ07185</t>
  </si>
  <si>
    <t>SOPRO 投射燈-圓形-7W36°
(停產)</t>
  </si>
  <si>
    <t>開孔尺寸：φ55mm
尺寸：φ67* H77mm
表面：黑色、白色
顯色指數（CRI）：Ra&gt;95
統一眩光等級（UGR）：UGR&lt;9
光束角度：36°
功率：7W
光通量：&gt;350lm
色溫範圍：2700K~6000K
調光：PWM數位調光
調光頻率：3.84kHz</t>
  </si>
  <si>
    <t>/uploads/product_images/DSZ07185.png</t>
  </si>
  <si>
    <t>DSZ07340</t>
  </si>
  <si>
    <t>防眩智能射燈 S3(7W24°）開孔55mm (錆黑)
需配置Mixpad 使用</t>
  </si>
  <si>
    <t>電源：AC100-240V，50/60Hz
尺寸：直徑61mm x 高54mm
顏色：黑色
開孔尺寸：直徑55mm
顯色指數：Ra&gt;90
防眩光指數：UGR&lt;10
光束角：24°
光通量：420lm
功率：7W
色溫範圍：2700K~6000K</t>
  </si>
  <si>
    <t>/uploads/product_images/DSZ07340.jpeg</t>
  </si>
  <si>
    <t>DSZ07341</t>
  </si>
  <si>
    <t>防眩智能射燈S3(7W36°）開孔55mm (錆黑)
需配置Mixpad 使用</t>
  </si>
  <si>
    <t>電源：AC100-240V，50/60Hz
尺寸：直徑61mm x 高54mm
顏色：黑色
開孔尺寸：直徑55mm
顯色指數：Ra&gt;90
防眩光指數：UGR&lt;10
光束角：36°
光通量：420lm
功率：7W
色溫範圍：2700K~6000K</t>
  </si>
  <si>
    <t>/uploads/product_images/DSZ07341.jpeg</t>
  </si>
  <si>
    <t>DSZ12186</t>
  </si>
  <si>
    <t>SOPRO 投射燈-圓形-12W15°
(停產)</t>
  </si>
  <si>
    <t>開孔尺寸：φ75mm
尺寸：φ85* H103mm
表面：黑色、白色
顯色指數（CRI）：Ra&gt;95
統一眩光等級（UGR）：UGR&lt;9
光束角度：15°
功率：12W
光通量：&gt;600lm
色溫範圍：2700K~6000K
調光：PWM數位調光
調光頻率：3.84kHz</t>
  </si>
  <si>
    <t>/uploads/product_images/DSZ12186.png</t>
  </si>
  <si>
    <t>DSZ12187</t>
  </si>
  <si>
    <t>SOPRO 投射燈-圓形-12W24°
(停產)</t>
  </si>
  <si>
    <t>開孔尺寸：φ75mm
尺寸：φ85* H103mm
表面：黑色、白色
顯色指數（CRI）：Ra&gt;95
統一眩光等級（UGR）：UGR&lt;9
光束角度：24°
功率：12W
光通量：&gt;600lm
色溫範圍：2700K~6000K
調光：PWM數位調光
調光頻率：3.84kHz</t>
  </si>
  <si>
    <t>/uploads/product_images/DSZ12187.png</t>
  </si>
  <si>
    <t>DSZ12188</t>
  </si>
  <si>
    <t>SOPRO 投射燈-圓形-12W36°
(停產)</t>
  </si>
  <si>
    <t>開孔尺寸：φ75mm
尺寸：φ85* H103mm
表面：黑色、白色
顯色指數（CRI）：Ra&gt;95
統一眩光等級（UGR）：UGR&lt;9
光束角度：36°
功率：12W
光通量：&gt;600lm
色溫範圍：2700K~6000K
調光：PWM數位調光
調光頻率：3.84kHz</t>
  </si>
  <si>
    <t>/uploads/product_images/DSZ12188.png</t>
  </si>
  <si>
    <t>DTZ05285</t>
  </si>
  <si>
    <t>智能筒燈 S0（6W）
需配置Mixpad 使用</t>
  </si>
  <si>
    <t>尺寸：88*70mm
開孔尺寸：75mm
電源供應器：AC100V-240V，50/60Hz
額定功率：6W
光通量：400 lm
色溫範圍：2700K-6500K</t>
  </si>
  <si>
    <t>/uploads/product_images/DTZ05285.jpeg</t>
  </si>
  <si>
    <t>DTZ07155</t>
  </si>
  <si>
    <t>超薄智能筒燈 S3（7W）
需配置Mixpad 使用</t>
  </si>
  <si>
    <t>電源：AC100-240V，50/60Hz
尺寸：直徑85mm x 高44mm
開孔尺寸：直徑75mm
顯色指數：Ra&gt;90
防眩光指數：UGR&lt;22
光束角：90°
光通量：450lm
功率：7W
色溫範圍：2700K~6000K</t>
  </si>
  <si>
    <t>/uploads/product_images/DTZ07155.jpeg</t>
  </si>
  <si>
    <t>DW-12W-1715</t>
  </si>
  <si>
    <t>崁燈-17cm-雙色</t>
  </si>
  <si>
    <t>功耗12W、電源36V、0-10V控制
燈珠12C2B
色溫2700~6500K
光通量90/lmw
CRI&gt;=80
光射角120°
外徑尺寸 175mm
開孔尺寸 150mm
不含電源</t>
  </si>
  <si>
    <t>/uploads/product_images/DW-12W-1715.png</t>
  </si>
  <si>
    <t>DW-2C-D3W-4835</t>
  </si>
  <si>
    <t>投射燈-5cm-雙色</t>
  </si>
  <si>
    <t>迷你COB弧面、0-10V控制
功耗3W、電源9V
輸入電流250MA
色溫3000~6500K
外徑尺寸 48mm
開孔尺寸 35mm
可調角度，不含電源</t>
  </si>
  <si>
    <t>/uploads/product_images/DW-2C-D3W-4835.png</t>
  </si>
  <si>
    <t>DW-2C-D3W-7055</t>
  </si>
  <si>
    <t>投射燈-7cm-雙色</t>
  </si>
  <si>
    <t>雙色COB
功耗3W、電源9V
輸入電流250MA
色溫3000~6500K
外徑尺寸 70mm
開孔尺寸 55mm
可調角度，不含電源</t>
  </si>
  <si>
    <t>/uploads/product_images/DW-2C-D3W-7055.png</t>
  </si>
  <si>
    <t>LED-P-12-250</t>
  </si>
  <si>
    <t>LED 燈變壓器12V 250W</t>
  </si>
  <si>
    <t>輸入電壓:110~220V
輸出電壓:12V、20A
功率:250W
(15米內燈條使用)</t>
  </si>
  <si>
    <t>/uploads/product_images/LED-P-12-250.jpg</t>
  </si>
  <si>
    <t>LED-P-12-500</t>
  </si>
  <si>
    <t>LED 燈變壓器12V 500W</t>
  </si>
  <si>
    <t>輸入電壓:110~220V
輸出電壓:12V、40A
功率:500W
(30米內燈條使用)</t>
  </si>
  <si>
    <t>/uploads/product_images/LED-P-12-500.jpg</t>
  </si>
  <si>
    <t>LED-P-12-80</t>
  </si>
  <si>
    <t>LED 燈變壓器12V 80W</t>
  </si>
  <si>
    <t>輸入電壓:110~220V
輸出電壓:12V、5A
功率:80W
(5米內燈條使用)</t>
  </si>
  <si>
    <t>/uploads/product_images/LED-P-12-80.jpg</t>
  </si>
  <si>
    <t>LED-P-24-100</t>
  </si>
  <si>
    <t>LED 燈變壓器24V 100W</t>
  </si>
  <si>
    <t>輸入電壓:110~220V
輸出電壓:24V、4.2A
功率:100W
(5米內燈條使用)</t>
  </si>
  <si>
    <t>/uploads/product_images/LED-P-24-100.jpg</t>
  </si>
  <si>
    <t>LED-P-24-250</t>
  </si>
  <si>
    <t>LED 燈變壓器24V 250W</t>
  </si>
  <si>
    <t>輸入電壓:110~220V
輸出電壓:24V、10A
功率:250W
(15米內燈條使用)</t>
  </si>
  <si>
    <t>/uploads/product_images/LED-P-24-250.jpg</t>
  </si>
  <si>
    <t>LED-P-24-500</t>
  </si>
  <si>
    <t>LED 燈變壓器24V 500W</t>
  </si>
  <si>
    <t>輸入電壓:110~220V
輸出電壓:24V、20A
功率:500W
(30米內燈條使用)</t>
  </si>
  <si>
    <t>/uploads/product_images/LED-P-24-500.jpg</t>
  </si>
  <si>
    <t>LED-P-48-1500</t>
  </si>
  <si>
    <t>LED 燈變壓器48V 1500W</t>
  </si>
  <si>
    <t>輸入電壓:110~220V
輸出電壓:48V、31A
功率:1500W</t>
  </si>
  <si>
    <t>/uploads/product_images/LED-P-48-1500.png</t>
  </si>
  <si>
    <t>LED-P-48-350</t>
  </si>
  <si>
    <t>LED 燈變壓器48V 350W</t>
  </si>
  <si>
    <t>輸入電壓:110~220V
輸出電壓:48V、7A
功率:250W</t>
  </si>
  <si>
    <t>/uploads/product_images/LED-P-48-350.png</t>
  </si>
  <si>
    <t>LED-RGB</t>
  </si>
  <si>
    <t>LED RGB 三色燈條</t>
  </si>
  <si>
    <t>米</t>
  </si>
  <si>
    <t>色溫:R/G/B
工作電壓:12V
LED:60燈/米
功率:9W/米
寬度:12mm
發光角度：120°
規格:5m/卷</t>
  </si>
  <si>
    <t>/uploads/product_images/LED-RGB.jpg</t>
  </si>
  <si>
    <t>LED-WC</t>
  </si>
  <si>
    <t>LED 色溫燈條</t>
  </si>
  <si>
    <t>色溫:3000~6500K
工作電壓:12V
LED:60燈/米
功率:7.5W/米
寬度:12mm
發光角度：120°
規格:5m/卷</t>
  </si>
  <si>
    <t>/uploads/product_images/LED-WC.jpg</t>
  </si>
  <si>
    <t>PARGBWC</t>
  </si>
  <si>
    <t>燈條功率放大器50A</t>
  </si>
  <si>
    <t>色溫:3000~6500k/R/G/B
工作電壓:5V~24V
功率: Max 50A
寬度:12mm</t>
  </si>
  <si>
    <t>/uploads/product_images/PARGBWC.jpeg</t>
  </si>
  <si>
    <t>RGBW</t>
  </si>
  <si>
    <t>LED RGBW 四色燈條</t>
  </si>
  <si>
    <t>色溫:R/G/B/W
工作電壓:24V
LED:60燈/米
功率:14.4W/米
寬度:12mm
發光角度：120°
規格:5m/卷</t>
  </si>
  <si>
    <t>/uploads/product_images/RGBW.jpeg</t>
  </si>
  <si>
    <t>RGBWC</t>
  </si>
  <si>
    <t>LED RGBWC 五色燈條</t>
  </si>
  <si>
    <t>色溫:3000~6500k/R/G/B
工作電壓:24V
LED:60燈/米
功率:16W/米
寬度:12mm
發光角度：120°
規格:5m/卷</t>
  </si>
  <si>
    <t>/uploads/product_images/RGBWC.jpeg</t>
  </si>
  <si>
    <t>ST-AL-L1307</t>
  </si>
  <si>
    <t>鋁槽-12mm</t>
  </si>
  <si>
    <t>12mm燈條鋁槽
寬度13mm
高度7mm
含PC罩</t>
  </si>
  <si>
    <t>/uploads/product_images/ST-AL-L1307.jpeg</t>
  </si>
  <si>
    <t>TB-250</t>
  </si>
  <si>
    <t>0-10V雙色電源</t>
  </si>
  <si>
    <t>0-10V調光電源(色溫、明亮)
電源輸入100~240V
電源輸出32-50V
電流250MA
負載10W</t>
  </si>
  <si>
    <t>/uploads/product_images/TB-250.png</t>
  </si>
  <si>
    <t>監視器</t>
  </si>
  <si>
    <t>BC10</t>
  </si>
  <si>
    <t>智慧戶外型高清監視器S3</t>
  </si>
  <si>
    <t>尺寸：146×65×65毫米
電源供應器：直流12V 1A/PoE 48V
圖元：4MP（2560*1440）
鏡頭：2.8mm F1.6
無線網路：2.4G WiFi(IEEE802.11b/g/n/)
PoE 標準：IEEE 802.3at</t>
  </si>
  <si>
    <t>/uploads/product_images/BC10.png</t>
  </si>
  <si>
    <t>需提供110V插座
若需要使用POE供電使用CAT6等級一上之網路線材</t>
  </si>
  <si>
    <t>NVR108P</t>
  </si>
  <si>
    <t>戶外型監視器專用NVR</t>
  </si>
  <si>
    <t>與智慧室外攝影機 S3 搭配使用
NVR儲存</t>
  </si>
  <si>
    <t>/uploads/product_images/NVR108P.png</t>
  </si>
  <si>
    <t>NVRWD-2T</t>
  </si>
  <si>
    <t>監控硬碟2T</t>
  </si>
  <si>
    <t>/uploads/product_images/NVRWD-2T.jpeg</t>
  </si>
  <si>
    <t>NVRWD-4T</t>
  </si>
  <si>
    <t>監控硬碟4T</t>
  </si>
  <si>
    <t>/uploads/product_images/NVRWD-4T.jpeg</t>
  </si>
  <si>
    <t>NVRWD-6T</t>
  </si>
  <si>
    <t>監控硬碟6T</t>
  </si>
  <si>
    <t>/uploads/product_images/NVRWD-6T.jpeg</t>
  </si>
  <si>
    <t>NVRWD-8T</t>
  </si>
  <si>
    <t>監控硬碟8T</t>
  </si>
  <si>
    <t>/uploads/product_images/NVRWD-8T.jpeg</t>
  </si>
  <si>
    <t>SC40PT</t>
  </si>
  <si>
    <t>大白旋轉式監視器-Wifi</t>
  </si>
  <si>
    <t>圖元：200萬（1080P）
尺寸：76x72x118mm
顏色：白色
電源：DC5V/1A
雲台角度：水準0°~355°/垂直0°~60°</t>
  </si>
  <si>
    <t>/uploads/product_images/SC40PT.png</t>
  </si>
  <si>
    <t>SC41PT</t>
  </si>
  <si>
    <t>巨目旋轉式監視器-Wifi</t>
  </si>
  <si>
    <t>/uploads/product_images/SC41PT.png</t>
  </si>
  <si>
    <t>網路設備</t>
  </si>
  <si>
    <t>OR-6000-2</t>
  </si>
  <si>
    <t>Wifi 分享器 Orbi Wifi6 Mesh (兩顆)</t>
  </si>
  <si>
    <t>/uploads/product_images/OR-6000-2.png</t>
  </si>
  <si>
    <t>OR-6000-3</t>
  </si>
  <si>
    <t>Wifi 分享器 Orbi Wifi6 Mesh (三顆)</t>
  </si>
  <si>
    <t>/uploads/product_images/OR-6000-3.jpeg</t>
  </si>
  <si>
    <t>TL-D-60</t>
  </si>
  <si>
    <t>/uploads/product_images/TL-D-60.png</t>
  </si>
  <si>
    <t>TL-D-90</t>
  </si>
  <si>
    <t>Wifi 分享器 TP-link Wifi6 Mesh</t>
  </si>
  <si>
    <t>/uploads/product_images/TL-D-90.jpeg</t>
  </si>
  <si>
    <t>TL-S-16P</t>
  </si>
  <si>
    <t>Wifi 網路交換機 16埠</t>
  </si>
  <si>
    <t>/uploads/product_images/TL-S-16P.jpeg</t>
  </si>
  <si>
    <t>TL-S-8P</t>
  </si>
  <si>
    <t>Wifi 網路交換機 8埠</t>
  </si>
  <si>
    <t>/uploads/product_images/TL-S-8P.jpeg</t>
  </si>
  <si>
    <t>語音助理</t>
  </si>
  <si>
    <t>GH-Hub</t>
  </si>
  <si>
    <t>Google語音助理
(WiFi)
(停產)</t>
  </si>
  <si>
    <t>/uploads/product_images/GH-Hub.jpeg</t>
  </si>
  <si>
    <t>Mi-09L</t>
  </si>
  <si>
    <t>語音助理
(WiFi)</t>
  </si>
  <si>
    <t>/uploads/product_images/Mi-09L.png</t>
  </si>
  <si>
    <t>配件</t>
  </si>
  <si>
    <t>CK12G</t>
  </si>
  <si>
    <t>夢幻簾電動窗簾軌道</t>
  </si>
  <si>
    <t>軌道長度：1公尺(3呎)</t>
  </si>
  <si>
    <t>SD-128</t>
  </si>
  <si>
    <t>128 G 記憶卡</t>
  </si>
  <si>
    <t>片</t>
  </si>
  <si>
    <t>/uploads/product_images/SD-128.jpeg</t>
  </si>
  <si>
    <t>SD-64</t>
  </si>
  <si>
    <t>64 G 記憶卡</t>
  </si>
  <si>
    <t>/uploads/product_images/SD-64.jpeg</t>
  </si>
  <si>
    <t>WC30</t>
  </si>
  <si>
    <t>3M蛇形簾配件</t>
  </si>
  <si>
    <t>3米 蛇形配件包</t>
  </si>
  <si>
    <t>WC45</t>
  </si>
  <si>
    <t>4.5M蛇形簾配件</t>
  </si>
  <si>
    <t>4.5米 蛇形配件包</t>
  </si>
  <si>
    <t>WG60</t>
  </si>
  <si>
    <t>摺距60</t>
  </si>
  <si>
    <t>繩子 60mm</t>
  </si>
  <si>
    <t>WG70</t>
  </si>
  <si>
    <t>摺距70</t>
  </si>
  <si>
    <t>繩子 70mm</t>
  </si>
  <si>
    <t>防災設備</t>
  </si>
  <si>
    <t>SF30</t>
  </si>
  <si>
    <t>煙霧感應器-ZigBee</t>
  </si>
  <si>
    <t>尺寸：φ90*37mm
電源：DC3V（CR123A電池）
工作溫度：-10～55℃</t>
  </si>
  <si>
    <t>/uploads/product_images/SF30.png</t>
  </si>
  <si>
    <t>ST30</t>
  </si>
  <si>
    <t>溫溼度感應器-ZigBee</t>
  </si>
  <si>
    <t>尺寸：φ61.2*23mm
電源：DC3V（AAA電池）
工作溫度：-10～50℃</t>
  </si>
  <si>
    <t>/uploads/product_images/ST30.png</t>
  </si>
  <si>
    <t>SW30</t>
  </si>
  <si>
    <t>浸水感應器-ZigBee</t>
  </si>
  <si>
    <t>尺寸：φ50*18毫米  
電源：DC3V（CR2032電池）
工作溫度：-10～50℃</t>
  </si>
  <si>
    <t>/uploads/product_images/SW30.png</t>
  </si>
  <si>
    <t>電源管理</t>
  </si>
  <si>
    <t>MY-05</t>
  </si>
  <si>
    <t>繼電器-5A</t>
  </si>
  <si>
    <t>/uploads/product_images/MY-05.png</t>
  </si>
  <si>
    <t>MY-10</t>
  </si>
  <si>
    <t>繼電器-10A</t>
  </si>
  <si>
    <t>/uploads/product_images/MY-10.png</t>
  </si>
  <si>
    <t>SSR-10</t>
  </si>
  <si>
    <t>固態式繼電器 10A</t>
  </si>
  <si>
    <t>/uploads/product_images/SSR-10.png</t>
  </si>
  <si>
    <t>SSR-40</t>
  </si>
  <si>
    <t>固態式繼電器 40A</t>
  </si>
  <si>
    <t>/uploads/product_images/SSR-40.png</t>
  </si>
  <si>
    <t>馬達類</t>
  </si>
  <si>
    <t>C20WZ</t>
  </si>
  <si>
    <t>精靈超靜音智慧窗簾電機（含遙控器）</t>
  </si>
  <si>
    <t>尺寸：53*270mm
電源供應器：AC100-240V 50/60Hz
無線協定：Wi-Fi
窗簾桿長度：1.7M-4M
(含3米內軌道)</t>
  </si>
  <si>
    <t>/uploads/product_images/C20WZ.png</t>
  </si>
  <si>
    <t>CK12</t>
  </si>
  <si>
    <t>夢幻簾電動窗簾馬達</t>
  </si>
  <si>
    <t>窗簾種類：夢幻簾/穿透簾
連線方式：Zigbee
本品不含軌道與窗簾布</t>
  </si>
  <si>
    <t>/uploads/product_images/CK12.jpeg</t>
  </si>
  <si>
    <t>W10-T</t>
  </si>
  <si>
    <t>電動窗臉軌道</t>
  </si>
  <si>
    <t>呎</t>
  </si>
  <si>
    <t>10尺軌道以上</t>
  </si>
  <si>
    <t>市場最低價</t>
    <phoneticPr fontId="1" type="noConversion"/>
  </si>
  <si>
    <t>特殊倍數_市場價</t>
  </si>
  <si>
    <t>B10W4</t>
    <phoneticPr fontId="1" type="noConversion"/>
  </si>
  <si>
    <t>市場最低價折扣比例</t>
  </si>
  <si>
    <t>DSZ07344</t>
  </si>
  <si>
    <t>DSZ07345</t>
  </si>
  <si>
    <t>V1.0</t>
  </si>
  <si>
    <t>MixPad 7（Matter）</t>
  </si>
  <si>
    <t>S361</t>
  </si>
  <si>
    <t>C20WZ-3M</t>
  </si>
  <si>
    <t>Wi-Fi 智慧精靈窗簾電機與軌道套裝-3米</t>
  </si>
  <si>
    <t>C20WZ-4M</t>
  </si>
  <si>
    <t>Wi-Fi 智慧精靈窗簾電機與軌道套裝-4米</t>
  </si>
  <si>
    <t>高斯系列2代智慧開關（一開白）</t>
  </si>
  <si>
    <t>高斯系列2代智慧開關（二開白）</t>
  </si>
  <si>
    <t>高斯系列2代智慧開關（三開白）</t>
  </si>
  <si>
    <t>防眩智能射燈S5開孔55mm（白反光杯）</t>
  </si>
  <si>
    <t>S0智慧射燈</t>
  </si>
  <si>
    <t>S0智慧筒燈</t>
  </si>
  <si>
    <t>人體狀態感測器MixSense</t>
  </si>
  <si>
    <t>主機類</t>
    <phoneticPr fontId="1" type="noConversion"/>
  </si>
  <si>
    <t>組</t>
    <phoneticPr fontId="1" type="noConversion"/>
  </si>
  <si>
    <t>V80XA</t>
    <phoneticPr fontId="1" type="noConversion"/>
  </si>
  <si>
    <t>防眩智慧射燈S5（圓形7W24°開孔55mm)</t>
    <phoneticPr fontId="1" type="noConversion"/>
  </si>
  <si>
    <t>防眩智能射燈S5（圓形7W36°開孔55mm)</t>
    <phoneticPr fontId="1" type="noConversion"/>
  </si>
  <si>
    <t>美規一開開關-黑</t>
    <phoneticPr fontId="1" type="noConversion"/>
  </si>
  <si>
    <t>美規一開開關-白</t>
    <phoneticPr fontId="1" type="noConversion"/>
  </si>
  <si>
    <t>美規二開開關-黑</t>
    <phoneticPr fontId="1" type="noConversion"/>
  </si>
  <si>
    <t>美規二開開關-白</t>
    <phoneticPr fontId="1" type="noConversion"/>
  </si>
  <si>
    <t>MixSwitch 巴赫四切智慧開關-金</t>
    <phoneticPr fontId="1" type="noConversion"/>
  </si>
  <si>
    <t>MixSwitch 巴赫八切智慧開關-金</t>
    <phoneticPr fontId="1" type="noConversion"/>
  </si>
  <si>
    <t>小方遙控器</t>
    <phoneticPr fontId="1" type="noConversion"/>
  </si>
  <si>
    <t>智慧磁力格柵燈8W 3000k Q系列</t>
    <phoneticPr fontId="1" type="noConversion"/>
  </si>
  <si>
    <t>智慧磁力泛光燈8W 6000k Q系列</t>
    <phoneticPr fontId="1" type="noConversion"/>
  </si>
  <si>
    <t>智慧磁力射燈8W 4000k Q系列</t>
    <phoneticPr fontId="1" type="noConversion"/>
  </si>
  <si>
    <t>智慧磁力格柵燈8W 4000k Q系列</t>
    <phoneticPr fontId="1" type="noConversion"/>
  </si>
  <si>
    <t>智慧磁力格柵燈8W 6000k Q系列</t>
    <phoneticPr fontId="1" type="noConversion"/>
  </si>
  <si>
    <t>智慧磁力射燈8W 6000k Q系列</t>
    <phoneticPr fontId="1" type="noConversion"/>
  </si>
  <si>
    <t>智慧磁性摺疊格柵燈12W 4000k Q系列</t>
    <phoneticPr fontId="1" type="noConversion"/>
  </si>
  <si>
    <t>智慧磁性摺疊格柵燈12W 6000k Q系列</t>
    <phoneticPr fontId="1" type="noConversion"/>
  </si>
  <si>
    <t>智慧磁力格柵燈15W 4000k Q系列</t>
    <phoneticPr fontId="1" type="noConversion"/>
  </si>
  <si>
    <t>智慧磁性泛光燈15W 4000k Q系列</t>
    <phoneticPr fontId="1" type="noConversion"/>
  </si>
  <si>
    <t>智慧磁格柵燈15W 6000k Q系列</t>
    <phoneticPr fontId="1" type="noConversion"/>
  </si>
  <si>
    <t>智慧磁力泛光燈15W 6000k Q系列</t>
    <phoneticPr fontId="1" type="noConversion"/>
  </si>
  <si>
    <t>蒼芎智慧燈條(2M)</t>
    <phoneticPr fontId="1" type="noConversion"/>
  </si>
  <si>
    <t>蒼芎燈條1m延伸</t>
    <phoneticPr fontId="1" type="noConversion"/>
  </si>
  <si>
    <t>蒼芎智慧燈條5m延伸</t>
    <phoneticPr fontId="1" type="noConversion"/>
  </si>
  <si>
    <t>HDMI氛圍燈帶（120Hz）</t>
    <phoneticPr fontId="1" type="noConversion"/>
  </si>
  <si>
    <t>蒼芎智慧燈條(5M)</t>
    <phoneticPr fontId="1" type="noConversion"/>
  </si>
  <si>
    <t>蒼芎投射燈</t>
    <phoneticPr fontId="1" type="noConversion"/>
  </si>
  <si>
    <t>蒼芎崁燈</t>
    <phoneticPr fontId="1" type="noConversion"/>
  </si>
  <si>
    <t>超薄智慧崁燈7W 105°S1</t>
    <phoneticPr fontId="1" type="noConversion"/>
  </si>
  <si>
    <t>超薄智慧投射燈7W 24°S1</t>
    <phoneticPr fontId="1" type="noConversion"/>
  </si>
  <si>
    <t>蒼芎吸頂燈PRO</t>
    <phoneticPr fontId="1" type="noConversion"/>
  </si>
  <si>
    <t>SOPRO智慧壁燈</t>
    <phoneticPr fontId="1" type="noConversion"/>
  </si>
  <si>
    <t>SOPRO智慧落地燈</t>
    <phoneticPr fontId="1" type="noConversion"/>
  </si>
  <si>
    <t>SOPRO智慧吊燈</t>
    <phoneticPr fontId="1" type="noConversion"/>
  </si>
  <si>
    <t>Google語音助理
(WiFi) (恕不挑色)</t>
    <phoneticPr fontId="1" type="noConversion"/>
  </si>
  <si>
    <t>美規面板-白/黑</t>
    <phoneticPr fontId="1" type="noConversion"/>
  </si>
  <si>
    <t>美規三開開關-黑</t>
    <phoneticPr fontId="1" type="noConversion"/>
  </si>
  <si>
    <t>美規情境開關-黑</t>
    <phoneticPr fontId="1" type="noConversion"/>
  </si>
  <si>
    <t>美規情境開關-白</t>
    <phoneticPr fontId="1" type="noConversion"/>
  </si>
  <si>
    <t>美規三開開關-白</t>
    <phoneticPr fontId="1" type="noConversion"/>
  </si>
  <si>
    <t>智慧門鎖OLock-WiFi版</t>
    <phoneticPr fontId="1" type="noConversion"/>
  </si>
  <si>
    <t>智慧門鎖S2-WiFi版</t>
    <phoneticPr fontId="1" type="noConversion"/>
  </si>
  <si>
    <t>T1展示架</t>
    <phoneticPr fontId="1" type="noConversion"/>
  </si>
  <si>
    <t>智慧門鎖T1-CB-ZigBee版</t>
    <phoneticPr fontId="1" type="noConversion"/>
  </si>
  <si>
    <t>經典情境開關</t>
    <phoneticPr fontId="1" type="noConversion"/>
  </si>
  <si>
    <t>經典一開開關</t>
    <phoneticPr fontId="1" type="noConversion"/>
  </si>
  <si>
    <t>經典二開開關</t>
    <phoneticPr fontId="1" type="noConversion"/>
  </si>
  <si>
    <t>經典三開開關</t>
    <phoneticPr fontId="1" type="noConversion"/>
  </si>
  <si>
    <t>MixPAD Mini C2(L / N版本)</t>
    <phoneticPr fontId="1" type="noConversion"/>
  </si>
  <si>
    <t>智慧門鎖V5(木)</t>
    <phoneticPr fontId="1" type="noConversion"/>
  </si>
  <si>
    <t>電動窗簾馬達與軌道含3米內軌道</t>
    <phoneticPr fontId="1" type="noConversion"/>
  </si>
  <si>
    <t>W10電動馬達軌道</t>
    <phoneticPr fontId="1" type="noConversion"/>
  </si>
  <si>
    <t>W10電動馬達伸縮軌道1218</t>
    <phoneticPr fontId="1" type="noConversion"/>
  </si>
  <si>
    <t>W10電動馬達伸縮軌道1830</t>
    <phoneticPr fontId="1" type="noConversion"/>
  </si>
  <si>
    <t>W10電動馬達伸縮軌道2340</t>
    <phoneticPr fontId="1" type="noConversion"/>
  </si>
  <si>
    <t>W10電動馬達伸縮軌道2545</t>
    <phoneticPr fontId="1" type="noConversion"/>
  </si>
  <si>
    <t>旋鈕面板
Gauss smart knob Control Panel</t>
    <phoneticPr fontId="1" type="noConversion"/>
  </si>
  <si>
    <t>尺寸：86*86*32mm
電源供應器：AC110-250V，50/60Hz
最大限度。負載：800W/組
工作溫度：-20℃~60℃
工作濕度：&lt;80%</t>
  </si>
  <si>
    <t>電源：110V–240V～ 50/60Hz
尺寸：φ61 × H76mm
開孔尺寸：φ55mm
通訊協議：Zigbee
顯色指數：Ra &gt; 90
光束角：24°
可調角度：25°
額定功率：7W
亮度調整範圍：0%–100%
光通量：450 流明（Lm）
色溫範圍：2700K–6000K</t>
  </si>
  <si>
    <t>電源：200V–240V～ 50/60Hz
尺寸：φ61 × H76mm
開孔尺寸：φ55mm
通訊協議：Zigbee
顯色指數：Ra &gt; 90
光束角：36°
可調角度：25°
額定功率：7W
亮度調整範圍：0%–100%
光通量：450 流明（Lm）
色溫範圍：2700K–6000K</t>
  </si>
  <si>
    <t>尺寸：φ49.7 × H21mm</t>
  </si>
  <si>
    <t>電源：AC 100–240V 50/60Hz
通訊協議：Zigbee
尺寸：Φ88 × H80mm
開孔尺寸：Φ75mm
顯色指數：Ra &gt; 90
防眩光指數：UGR &lt; 13
光束角：36°
光通量：400 流明（lm）
額定功率：6W
色溫範圍：2700K–6000K</t>
  </si>
  <si>
    <t>電源：AC 100–240V 50/60Hz
通訊協議：Zigbee
尺寸：Φ88 × H70mm
開孔尺寸：Φ75mm
顯色指數：Ra  90
防眩光指數：UGR &lt; 13
光束角：70°
光通量：400 流明（lm）
額定功率：6W
色溫範圍：2700K–6000K</t>
  </si>
  <si>
    <t>電源：AC 100–240V 50/60Hz
額定功率：3W
顏色：白色
感應方式：毫米波雷達 + 紅外線感應
產品尺寸：Φ82mm × Φ65mm × 48mm
開孔尺寸：Φ70mm
偵測角度：70°
建議安裝高度：&lt;3 公尺</t>
  </si>
  <si>
    <t>電機尺寸： 53 * 270mm
供電電壓： AC 100-240V 50/60Hz
無線協定： Wi-Fi
適用軌道長度： 1.7M - 3M
最大承重： 40Kg</t>
  </si>
  <si>
    <t>電機尺寸： 53 * 270mm
供電電壓： AC 100-240V 50/60Hz
無線協定： Wi-Fi
適用軌道長度： 2.2M - 4M
最大承重： 40Kg</t>
  </si>
  <si>
    <t>主機類</t>
  </si>
  <si>
    <t>DSZ12228</t>
  </si>
  <si>
    <t>銀河智能柔光射燈（12W 24度）白</t>
  </si>
  <si>
    <t>電源: 110V-220V～ 50/60Hz
尺寸: 
開孔尺寸: φ75mm
顏色: 白色
通訊協定: Zigbee
顏色 顯色指數: Ra&gt;95
防眩光指數: UGR&lt;14
光束角: 24度
額定功率: 12W
亮度調節（調光）: 0% - 100%
Current: 300mA
光通量（流明，流明）: &gt;818流明
顏色 溫範圍: 2700K~6000K</t>
  </si>
  <si>
    <t>DSZ12229</t>
  </si>
  <si>
    <t>銀河智能柔光射燈（12W 36度）白</t>
  </si>
  <si>
    <t>電源: 110V-220V～ 50/60Hz
尺寸: 
開孔尺寸: φ75mm
顏色: 白色
通訊協定: Zigbee
顏色 顯色指數: Ra&gt;95
防眩光指數: UGR&lt;14
光束角: 36度
額定功率: 12W
亮度調節（調光）: 0% - 100%
Current: 300mA
光通量（流明，流明）: &gt;818流明
顏色 溫範圍: 2700K~6000K</t>
  </si>
  <si>
    <t>DSZ08252</t>
  </si>
  <si>
    <t>銀河智能柔光射燈（8W 24度）白</t>
  </si>
  <si>
    <t>電源: 110V-220V～ 50/60Hz
尺寸: 
開孔尺寸: φ55mm
顏色: 白色
通訊協定: Zigbee
顏色 顯色指數: Ra&gt;95
防眩光指數: UGR&lt;10
光束角: 24度
額定功率: 8W
亮度調節（調光）: 0% - 100%
Current: 180mA
光通量（流明，流明）: &gt;567流明
顏色 溫範圍: 2700K~6000K</t>
  </si>
  <si>
    <t>DSZ08253</t>
  </si>
  <si>
    <t>銀河智能柔光射燈（8W 36度）白</t>
  </si>
  <si>
    <t>電源: 110V-220V～ 50/60Hz
尺寸: 
開孔尺寸: φ55mm
顏色: 白色
通訊協定: Zigbee
顏色 顯色指數: Ra&gt;95
防眩光指數: UGR&lt;10
光束角: 36度
額定功率: 8W
亮度調節（調光）: 0% - 100%
Current: 180mA
光通量（流明，流明）: &gt;567流明
顏色 溫範圍: 2700K~6000K</t>
  </si>
  <si>
    <t>DSZ12230</t>
  </si>
  <si>
    <t>銀河智能柔光射燈（12W 24度）黑</t>
  </si>
  <si>
    <t>電源: 110V-220V～ 50/60Hz
尺寸: 
開孔尺寸: φ75mm
顏色: 黑色
通訊協定: Zigbee
顏色 顯色指數: Ra&gt;95
防眩光指數: UGR&lt;14
光束角: 24度
額定功率: 12W
亮度調節（調光）: 0% - 100%
Current: 300mA
光通量（流明，流明）: &gt;818流明
顏色 溫範圍: 2700K~6000K</t>
  </si>
  <si>
    <t>DSZ12231</t>
  </si>
  <si>
    <t>銀河智能柔光射燈（12W 36度）黑</t>
  </si>
  <si>
    <t>電源: 110V-220V～ 50/60Hz
尺寸: 
開孔尺寸: φ75mm
顏色: 黑色
通訊協定: Zigbee
顏色 顯色指數: Ra&gt;95
防眩光指數: UGR&lt;14
光束角: 36度
額定功率: 12W
亮度調節（調光）: 0% - 100%
Current: 300mA
光通量（流明，流明）: &gt;818流明
顏色 溫範圍: 2700K~6000K</t>
  </si>
  <si>
    <t>DSZ08254</t>
  </si>
  <si>
    <t>銀河智能柔光射燈（8W 24度）黑</t>
  </si>
  <si>
    <t>電源: 110V-220V～ 50/60Hz
尺寸: 
開孔尺寸: φ55mm
顏色: 黑色
通訊協定: Zigbee
顏色 顯色指數: Ra&gt;95
防眩光指數: UGR&lt;10
光束角: 24度
額定功率: 8W
亮度調節（調光）: 0% - 100%
Current: 180mA
光通量（流明，流明）: &gt;567流明
顏色 溫範圍: 2700K~6000K</t>
  </si>
  <si>
    <t>DSZ08255</t>
  </si>
  <si>
    <t>銀河智能柔光射燈（8W 36度）黑</t>
  </si>
  <si>
    <t>電源: 110V-220V～ 50/60Hz
尺寸: 
開孔尺寸: φ55mm
顏色: 黑色
通訊協定: Zigbee
顏色 顯色指數: Ra&gt;95
防眩光指數: UGR&lt;10
光束角: 36度
額定功率: 8W
亮度調節（調光）: 0% - 100%
Current: 180mA
光通量（流明，流明）: &gt;567流明
顏色 溫範圍: 2700K~6000K</t>
  </si>
  <si>
    <t>DTZ10102</t>
  </si>
  <si>
    <t>銀河智能柔光筒燈（10W 36度）白</t>
  </si>
  <si>
    <t>電源: 110V-220V～ 50/60Hz
尺寸: 
開孔尺寸: φ75mm
顏色: 白色
通訊協定: Zigbee
顏色 顯色指數: Ra&gt;95
防眩光指數: UGR&lt;20
光束角: 36度
額定功率: 10W
亮度調節（調光）: 0% - 100%
Current: 250mA
光通量（流明，流明）: &gt;887流明
顏色 溫範圍: 2700K~6000K</t>
  </si>
  <si>
    <t>DTZ10103</t>
  </si>
  <si>
    <t>銀河智能柔光筒燈（10W 50度）白</t>
  </si>
  <si>
    <t>電源: 110V-220V～ 50/60Hz
尺寸: 
開孔尺寸: φ75mm
顏色: 白色
通訊協定: Zigbee
顏色 顯色指數: Ra&gt;95
防眩光指數: UGR&lt;20
光束角: 50度
額定功率: 10W
亮度調節（調光）: 0% - 100%
Current: 250mA
光通量（流明，流明）: &gt;910流明
顏色 溫範圍: 2700K~6000K</t>
  </si>
  <si>
    <t>DTZ08001</t>
  </si>
  <si>
    <t>銀河智能柔光筒燈（8W 36度）白</t>
  </si>
  <si>
    <t>電源: 110V-220V～ 50/60Hz
尺寸: 
開孔尺寸: φ55mm
顏色: 白色
通訊協定: Zigbee
顏色 顯色指數: Ra&gt;95
防眩光指數: UGR&lt;16
光束角: 36度
額定功率: 8W
亮度調節（調光）: 0% - 100%
Current: 180mA
光通量（流明，流明）: &gt;500流明
顏色 溫範圍: 2700K~6000K</t>
  </si>
  <si>
    <t>DTZ08002</t>
  </si>
  <si>
    <t>銀河智能柔光筒燈（8W 50度）白</t>
  </si>
  <si>
    <t>電源: 110V-220V～ 50/60Hz
尺寸: 
開孔尺寸: φ55mm
顏色: 白色
通訊協定: Zigbee
顏色 顯色指數: Ra&gt;95
防眩光指數: UGR&lt;18
光束角: 50度
額定功率: 8W
亮度調節（調光）: 0% - 100%
Current: 180mA
光通量（流明，流明）: &gt;560流明
顏色 溫範圍: 2700K~6000K</t>
  </si>
  <si>
    <t>DTZ10104</t>
  </si>
  <si>
    <t>銀河智能柔光筒燈（10W 36度）黑</t>
  </si>
  <si>
    <t>電源: 110V-220V～ 50/60Hz
尺寸: 
開孔尺寸: φ75mm
顏色: 黑色
通訊協定: Zigbee
顏色 顯色指數: Ra&gt;95
防眩光指數: UGR&lt;20
光束角: 36度
額定功率: 10W
亮度調節（調光）: 0% - 100%
Current: 250mA
光通量（流明，流明）: &gt;887流明
顏色 溫範圍: 2700K~6000K</t>
  </si>
  <si>
    <t>DTZ10105</t>
  </si>
  <si>
    <t>銀河智能柔光筒燈（10W 50度）黑</t>
  </si>
  <si>
    <t>電源: 110V-220V～ 50/60Hz
尺寸: 
開孔尺寸: φ75mm
顏色: 黑色
通訊協定: Zigbee
顏色 顯色指數: Ra&gt;95
防眩光指數: UGR&lt;20
光束角: 50度
額定功率: 10W
亮度調節（調光）: 0% - 100%
Current: 250mA
光通量（流明，流明）: &gt;910流明
顏色 溫範圍: 2700K~6000K</t>
  </si>
  <si>
    <t>DTZ08003</t>
  </si>
  <si>
    <t>銀河智能柔光筒燈（8W 36度）黑</t>
  </si>
  <si>
    <t>電源: 110V-220V～ 50/60Hz
尺寸: 
開孔尺寸: φ55mm
顏色: 黑色
通訊協定: Zigbee
顏色 顯色指數: Ra&gt;95
防眩光指數: UGR&lt;16
光束角: 36度
額定功率: 8W
亮度調節（調光）: 0% - 100%
Current: 180mA
光通量（流明，流明）: &gt;500流明
顏色 溫範圍: 2700K~6000K</t>
  </si>
  <si>
    <t>DTZ08004</t>
  </si>
  <si>
    <t>銀河智能柔光筒燈（8W 50度）黑</t>
  </si>
  <si>
    <t>電源: 110V-220V～ 50/60Hz
尺寸: 
開孔尺寸: φ55mm
顏色: 黑色
通訊協定: Zigbee
顏色 顯色指數: Ra&gt;95
防眩光指數: UGR&lt;18
光束角: 50度
額定功率: 8W
亮度調節（調光）: 0% - 100%
Current: 180mA
光通量（流明，流明）: &gt;560流明
顏色 溫範圍: 2700K~6000K</t>
  </si>
  <si>
    <t>MixPad 4</t>
  </si>
  <si>
    <t>台</t>
    <phoneticPr fontId="1" type="noConversion"/>
  </si>
  <si>
    <t>電源: AC100-240V, 50/60Hz
L&amp;N 連接方式
通訊協定: Zigbee 3.0, Wi-Fi 2.4G &amp; 5G, Bluetooth 5.1, Infrared IR940NM
顏色: 黑色
尺寸: 86 x 86 x 38.4mm
螢幕 size: 4 inches, 480*480P
迴路數: 2 gang
最大負載: &lt;400W/loop
Built-in IR sensor, support IR learning
工作溫度.: 0~50℃</t>
    <phoneticPr fontId="1" type="noConversion"/>
  </si>
  <si>
    <t>開孔尺寸75mm</t>
    <phoneticPr fontId="1" type="noConversion"/>
  </si>
  <si>
    <t>開孔尺寸55mm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</si>
</sst>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  <xf numFmtId="0" fontId="0" fillId="2" borderId="0" xfId="0" applyFill="1"/>
    <xf numFmtId="178" fontId="0" fillId="0" borderId="0" xfId="0" applyNumberFormat="1"/>
    <xf numFmtId="0" fontId="0" fillId="3" borderId="0" xfId="0" applyFill="1"/>
    <xf numFmtId="177" fontId="0" fillId="3" borderId="0" xfId="0" applyNumberFormat="1" applyFill="1"/>
    <xf numFmtId="2" fontId="0" fillId="3" borderId="0" xfId="0" applyNumberForma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6234;&#24935;&#23478;&#24237;&#29986;&#21697;&#20729;&#26684;&#34920;.&#21547;&#3123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價單"/>
      <sheetName val="智慧家庭產品價格表.含稅"/>
      <sheetName val="ORVIBO"/>
      <sheetName val="重量"/>
      <sheetName val="經銷商資料"/>
      <sheetName val="備註內容"/>
      <sheetName val="提供經銷商"/>
      <sheetName val="智慧家庭產品價格表"/>
    </sheetNames>
    <sheetDataSet>
      <sheetData sheetId="0"/>
      <sheetData sheetId="1">
        <row r="1">
          <cell r="B1"/>
          <cell r="C1" t="str">
            <v>產品資訊</v>
          </cell>
          <cell r="D1"/>
          <cell r="E1"/>
          <cell r="F1"/>
          <cell r="G1"/>
          <cell r="H1"/>
          <cell r="I1"/>
          <cell r="J1"/>
          <cell r="K1"/>
          <cell r="L1" t="str">
            <v>產品成本</v>
          </cell>
          <cell r="M1" t="str">
            <v>ORVIBO
202412</v>
          </cell>
          <cell r="N1" t="str">
            <v>成本統計</v>
          </cell>
          <cell r="O1" t="str">
            <v>包含關稅8%</v>
          </cell>
          <cell r="P1" t="str">
            <v>實際重量</v>
          </cell>
          <cell r="Q1" t="str">
            <v>重量(計算)</v>
          </cell>
          <cell r="R1" t="str">
            <v>實際運費</v>
          </cell>
          <cell r="S1" t="str">
            <v>運費</v>
          </cell>
        </row>
        <row r="2">
          <cell r="C2" t="str">
            <v>型號</v>
          </cell>
          <cell r="D2" t="str">
            <v>Product Name
品名</v>
          </cell>
          <cell r="E2"/>
          <cell r="F2"/>
          <cell r="G2"/>
          <cell r="H2" t="str">
            <v>Description
產品敘述 (中文)</v>
          </cell>
          <cell r="I2" t="str">
            <v>備註</v>
          </cell>
          <cell r="J2" t="str">
            <v>Picture
產品圖片</v>
          </cell>
          <cell r="K2" t="str">
            <v>單位</v>
          </cell>
          <cell r="L2" t="str">
            <v>USD</v>
          </cell>
          <cell r="M2" t="str">
            <v>USD</v>
          </cell>
          <cell r="N2" t="str">
            <v>USD</v>
          </cell>
          <cell r="O2" t="str">
            <v>USD</v>
          </cell>
          <cell r="P2"/>
          <cell r="Q2">
            <v>25</v>
          </cell>
          <cell r="R2" t="str">
            <v>NTD</v>
          </cell>
          <cell r="S2" t="str">
            <v>USD</v>
          </cell>
        </row>
        <row r="3"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</row>
        <row r="5"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C6" t="str">
            <v>VS20ZW</v>
          </cell>
          <cell r="D6" t="str">
            <v>Mini主機</v>
          </cell>
          <cell r="E6">
            <v>77.000060000000005</v>
          </cell>
          <cell r="F6">
            <v>31</v>
          </cell>
          <cell r="G6" t="str">
            <v>1-gang US WiFi Dimmer  switch + 1 remote switch</v>
          </cell>
          <cell r="H6" t="str">
            <v>尺寸：88*90*27mm
顏色：白色
外殼材質：PC
電源供應器：DC5V，1A，微型USB
工作溫度：0～40℃</v>
          </cell>
          <cell r="I6" t="str">
            <v>使用110V電源
需提供實體網路</v>
          </cell>
          <cell r="J6"/>
          <cell r="K6" t="str">
            <v>台</v>
          </cell>
          <cell r="L6">
            <v>18</v>
          </cell>
          <cell r="M6">
            <v>18</v>
          </cell>
          <cell r="N6">
            <v>18</v>
          </cell>
          <cell r="O6">
            <v>19.440000000000001</v>
          </cell>
          <cell r="P6">
            <v>0.20250000000000001</v>
          </cell>
          <cell r="Q6">
            <v>0.20250000000000001</v>
          </cell>
          <cell r="R6">
            <v>22.78125</v>
          </cell>
          <cell r="S6">
            <v>2</v>
          </cell>
        </row>
        <row r="7">
          <cell r="C7" t="str">
            <v>V80X</v>
          </cell>
          <cell r="D7" t="str">
            <v>MixPad 7 L&amp;N</v>
          </cell>
          <cell r="E7">
            <v>77.000069999999994</v>
          </cell>
          <cell r="F7">
            <v>32</v>
          </cell>
          <cell r="G7" t="str">
            <v>128 G 記憶卡</v>
          </cell>
          <cell r="H7" t="str">
            <v>電源供應器：AC100-240V，50/60Hz
L&amp;N連接
顏色：黑色
尺寸：177.2×111.1×40.25毫米
螢幕尺寸：7英寸，1024 x 600P
內建開關：4位
最大負載：1/2迴路，400W/迴路； 3/4迴路，200W/迴路</v>
          </cell>
          <cell r="I7" t="str">
            <v>需提供110V或220V電源
採用86底盒安裝(智崴提供)</v>
          </cell>
          <cell r="J7"/>
          <cell r="K7" t="str">
            <v>台</v>
          </cell>
          <cell r="L7">
            <v>239</v>
          </cell>
          <cell r="M7">
            <v>239</v>
          </cell>
          <cell r="N7">
            <v>239</v>
          </cell>
          <cell r="O7">
            <v>258.12</v>
          </cell>
          <cell r="P7">
            <v>0.88200000000000001</v>
          </cell>
          <cell r="Q7">
            <v>0.88200000000000001</v>
          </cell>
          <cell r="R7">
            <v>99.225000000000009</v>
          </cell>
          <cell r="S7">
            <v>6</v>
          </cell>
        </row>
        <row r="8">
          <cell r="C8" t="str">
            <v>V65X</v>
          </cell>
          <cell r="D8" t="str">
            <v>MixPad X</v>
          </cell>
          <cell r="E8">
            <v>77.000079999999997</v>
          </cell>
          <cell r="F8">
            <v>33</v>
          </cell>
          <cell r="G8" t="str">
            <v>3M蛇形簾配件</v>
          </cell>
          <cell r="H8" t="str">
            <v>電源供應器：AC100-240V，50/60Hz
L&amp;N連接
顏色：黑色
尺寸：317.1*154.7*40.7mm
螢幕尺寸：12.3英寸
內建開關：2組
最大負載：600W/迴路</v>
          </cell>
          <cell r="I8" t="str">
            <v>需提供110V或220V電源
採用86底盒安裝(智崴提供)</v>
          </cell>
          <cell r="J8"/>
          <cell r="K8" t="str">
            <v>台</v>
          </cell>
          <cell r="L8">
            <v>454</v>
          </cell>
          <cell r="M8">
            <v>440</v>
          </cell>
          <cell r="N8">
            <v>440</v>
          </cell>
          <cell r="O8">
            <v>475.20000000000005</v>
          </cell>
          <cell r="P8">
            <v>2.08</v>
          </cell>
          <cell r="Q8">
            <v>2.08</v>
          </cell>
          <cell r="R8">
            <v>234</v>
          </cell>
          <cell r="S8">
            <v>6</v>
          </cell>
        </row>
        <row r="9">
          <cell r="C9" t="str">
            <v xml:space="preserve"> V38X</v>
          </cell>
          <cell r="D9" t="str">
            <v>MixPAD Mini M2 黑
(L / N版本)</v>
          </cell>
          <cell r="E9">
            <v>77.00009</v>
          </cell>
          <cell r="F9">
            <v>34</v>
          </cell>
          <cell r="G9" t="str">
            <v>4.5M蛇形簾配件</v>
          </cell>
          <cell r="H9" t="str">
            <v>電源供應：AC100-240V, 50/60Hz  
L&amp;N連接  
顏色：黑色  
尺寸：86*86*35.8mm  
內建開關：4切  
最大負載：1/2每迴，400W/每迴；3/4每迴，200W/每迴</v>
          </cell>
          <cell r="I9" t="str">
            <v>需提供110V或220V電源
採用86底盒安裝(智崴提供)</v>
          </cell>
          <cell r="J9"/>
          <cell r="K9" t="str">
            <v>台</v>
          </cell>
          <cell r="L9">
            <v>107</v>
          </cell>
          <cell r="M9">
            <v>107</v>
          </cell>
          <cell r="N9">
            <v>107</v>
          </cell>
          <cell r="O9">
            <v>115.56</v>
          </cell>
          <cell r="P9"/>
          <cell r="Q9">
            <v>0.65</v>
          </cell>
          <cell r="R9">
            <v>73.125</v>
          </cell>
          <cell r="S9">
            <v>6</v>
          </cell>
        </row>
        <row r="10">
          <cell r="C10" t="str">
            <v xml:space="preserve"> V38X</v>
          </cell>
          <cell r="D10" t="str">
            <v>MixPAD Mini M2 白
(L / N版本)</v>
          </cell>
          <cell r="E10">
            <v>77.000100000000003</v>
          </cell>
          <cell r="F10">
            <v>35</v>
          </cell>
          <cell r="G10" t="str">
            <v>64 G 記憶卡</v>
          </cell>
          <cell r="H10" t="str">
            <v>電源供應：AC100-240V, 50/60Hz  
L&amp;N連接  
顏色：白色  
尺寸：86*86*35.8mm  
內建開關：4切  
最大負載：1/2每迴，400W/每迴；3/4每迴，200W/每迴</v>
          </cell>
          <cell r="I10" t="str">
            <v>需提供110V或220V電源
採用86底盒安裝(智崴提供)</v>
          </cell>
          <cell r="J10"/>
          <cell r="K10" t="str">
            <v>台</v>
          </cell>
          <cell r="L10">
            <v>107</v>
          </cell>
          <cell r="M10">
            <v>107</v>
          </cell>
          <cell r="N10">
            <v>107</v>
          </cell>
          <cell r="O10">
            <v>115.56</v>
          </cell>
          <cell r="P10"/>
          <cell r="Q10">
            <v>0.65</v>
          </cell>
          <cell r="R10">
            <v>73.125</v>
          </cell>
          <cell r="S10">
            <v>6</v>
          </cell>
        </row>
        <row r="11">
          <cell r="C11" t="str">
            <v>V20X</v>
          </cell>
          <cell r="D11" t="str">
            <v>Zigbee 多合一超級面板
（L&amp;N 連接）</v>
          </cell>
          <cell r="E11">
            <v>90.000110000000006</v>
          </cell>
          <cell r="F11">
            <v>114</v>
          </cell>
          <cell r="G11" t="str">
            <v>AirMaster Max</v>
          </cell>
          <cell r="H11" t="str">
            <v>電源供應：AC220V  
顏色：灰色  
螢幕尺寸：4 寸  
內建開關：2切，200W/每迴</v>
          </cell>
          <cell r="I11" t="str">
            <v>需提供110V或220V電源
採用86底盒安裝(智崴提供)</v>
          </cell>
          <cell r="J11"/>
          <cell r="K11" t="str">
            <v>台</v>
          </cell>
          <cell r="L11">
            <v>112</v>
          </cell>
          <cell r="M11">
            <v>112</v>
          </cell>
          <cell r="N11">
            <v>112</v>
          </cell>
          <cell r="O11">
            <v>120.96000000000001</v>
          </cell>
          <cell r="P11">
            <v>0.68</v>
          </cell>
          <cell r="Q11">
            <v>0.68</v>
          </cell>
          <cell r="R11">
            <v>76.5</v>
          </cell>
          <cell r="S11">
            <v>6</v>
          </cell>
        </row>
        <row r="12">
          <cell r="C12" t="str">
            <v>V70X</v>
          </cell>
          <cell r="D12" t="str">
            <v>MixPad D1</v>
          </cell>
          <cell r="E12">
            <v>77.000119999999995</v>
          </cell>
          <cell r="F12">
            <v>36</v>
          </cell>
          <cell r="G12" t="str">
            <v>C1 7cm 鎖夾</v>
          </cell>
          <cell r="H12" t="str">
            <v>電源供應器：AC100-120V，60Hz 
尺寸：4.12 x 1.75 x 1.80 英寸 
L&amp;N連接 
協定：2.4GHz Wi-Fi、藍牙4.0 
螢幕尺寸：1.9英寸 
最大負載：250W INC/HAL 120W LED/CFL 250W MLV/ELV</v>
          </cell>
          <cell r="I12"/>
          <cell r="J12"/>
          <cell r="K12" t="str">
            <v>台</v>
          </cell>
          <cell r="L12">
            <v>65</v>
          </cell>
          <cell r="M12">
            <v>65</v>
          </cell>
          <cell r="N12">
            <v>65</v>
          </cell>
          <cell r="O12">
            <v>70.2</v>
          </cell>
          <cell r="P12">
            <v>0.28000000000000003</v>
          </cell>
          <cell r="Q12">
            <v>0.28000000000000003</v>
          </cell>
          <cell r="R12">
            <v>31.500000000000004</v>
          </cell>
          <cell r="S12">
            <v>6</v>
          </cell>
        </row>
        <row r="13">
          <cell r="C13" t="str">
            <v>A10</v>
          </cell>
          <cell r="D13" t="str">
            <v>1-gang US WiFi on/off switch</v>
          </cell>
          <cell r="E13">
            <v>49.000129999999999</v>
          </cell>
          <cell r="F13">
            <v>4</v>
          </cell>
          <cell r="G13" t="str">
            <v>C1展示架</v>
          </cell>
          <cell r="H13" t="str">
            <v>尺寸：4.21*1.73*1.61 英寸
電源供應器：AC100-240V，50/60Hz
最大限度。負載：500W INC、250W LED 或 CFL</v>
          </cell>
          <cell r="I13"/>
          <cell r="J13"/>
          <cell r="K13" t="str">
            <v>顆</v>
          </cell>
          <cell r="L13">
            <v>15</v>
          </cell>
          <cell r="M13">
            <v>15</v>
          </cell>
          <cell r="N13">
            <v>15</v>
          </cell>
          <cell r="O13">
            <v>16.200000000000003</v>
          </cell>
          <cell r="P13"/>
          <cell r="Q13">
            <v>0.65</v>
          </cell>
          <cell r="R13">
            <v>73.125</v>
          </cell>
          <cell r="S13">
            <v>6</v>
          </cell>
        </row>
        <row r="14">
          <cell r="C14" t="str">
            <v>A10 KIT</v>
          </cell>
          <cell r="D14" t="str">
            <v>1-gang US WiFi switch + 1 remote switch</v>
          </cell>
          <cell r="E14">
            <v>49.000140000000002</v>
          </cell>
          <cell r="F14">
            <v>5</v>
          </cell>
          <cell r="G14" t="str">
            <v>C1 鑰匙頭</v>
          </cell>
          <cell r="H14" t="str">
            <v>尺寸：4.21*1.73*1.61 英寸
電源供應器：AC100-240V，50/60Hz
最大限度。負載：500W INC、250W LED 或 CFL
尺寸：2.56*1.3*0.63 英寸
工作電壓：自供電DC3.3V</v>
          </cell>
          <cell r="I14"/>
          <cell r="J14"/>
          <cell r="K14" t="str">
            <v>顆</v>
          </cell>
          <cell r="L14">
            <v>24</v>
          </cell>
          <cell r="M14">
            <v>24</v>
          </cell>
          <cell r="N14">
            <v>24</v>
          </cell>
          <cell r="O14">
            <v>25.92</v>
          </cell>
          <cell r="P14"/>
          <cell r="Q14">
            <v>0.65</v>
          </cell>
          <cell r="R14">
            <v>73.125</v>
          </cell>
          <cell r="S14">
            <v>6</v>
          </cell>
        </row>
        <row r="15">
          <cell r="C15" t="str">
            <v>A11 KIT</v>
          </cell>
          <cell r="D15" t="str">
            <v>1-gang US WiFi Dimmer  switch + 1 remote switch</v>
          </cell>
          <cell r="E15">
            <v>49.000149999999998</v>
          </cell>
          <cell r="F15">
            <v>6</v>
          </cell>
          <cell r="G15" t="str">
            <v>C1 指紋模組</v>
          </cell>
          <cell r="H15" t="str">
            <v>尺寸：4.21*1.73*1.61 英寸
電源供應器：AC100-120V，50/60Hz
最大限度。負載：300W INC、200W LED 或 CFL
尺寸：2.56*1.3*0.63 英寸
工作電壓：自供電DC3.3V</v>
          </cell>
          <cell r="I15"/>
          <cell r="J15"/>
          <cell r="K15" t="str">
            <v>顆</v>
          </cell>
          <cell r="L15">
            <v>27</v>
          </cell>
          <cell r="M15">
            <v>27</v>
          </cell>
          <cell r="N15">
            <v>27</v>
          </cell>
          <cell r="O15">
            <v>29.160000000000004</v>
          </cell>
          <cell r="P15"/>
          <cell r="Q15">
            <v>0.65</v>
          </cell>
          <cell r="R15">
            <v>73.125</v>
          </cell>
          <cell r="S15">
            <v>6</v>
          </cell>
        </row>
        <row r="16">
          <cell r="C16" t="str">
            <v>GV10</v>
          </cell>
          <cell r="D16" t="str">
            <v>旋鈕面板
Gauss smart knob Control Panel</v>
          </cell>
          <cell r="E16">
            <v>45531.000160000003</v>
          </cell>
          <cell r="F16">
            <v>193</v>
          </cell>
          <cell r="G16" t="str">
            <v>Google語音助理
(WiFi) (恕不挑色)
(停售)</v>
          </cell>
          <cell r="H16" t="str">
            <v>型號：GV10  
尺寸：86*86*38.4mm  
輸入：220V~，50Hz  
電源供應：L&amp;N連接  
燈具負載類型：LED/白熾燈/CFL  
負載：L1/L2&lt;400W/每切  
協定：WiFi 2.4GHz/5GHz、藍牙、RS-485、Zigbee  
操作環境：溫度0~45°C，濕度&lt;90%Rh</v>
          </cell>
          <cell r="I16"/>
          <cell r="J16"/>
          <cell r="K16" t="str">
            <v>台</v>
          </cell>
          <cell r="L16">
            <v>110</v>
          </cell>
          <cell r="M16">
            <v>110</v>
          </cell>
          <cell r="N16">
            <v>110</v>
          </cell>
          <cell r="O16">
            <v>118.80000000000001</v>
          </cell>
          <cell r="P16">
            <v>0.41</v>
          </cell>
          <cell r="Q16">
            <v>0.41</v>
          </cell>
          <cell r="R16">
            <v>46.125</v>
          </cell>
          <cell r="S16">
            <v>6</v>
          </cell>
        </row>
        <row r="17">
          <cell r="C17" t="str">
            <v>T60W1Z</v>
          </cell>
          <cell r="D17" t="str">
            <v>MixSwitch · Gauss 一切</v>
          </cell>
          <cell r="E17">
            <v>77.000169999999997</v>
          </cell>
          <cell r="F17">
            <v>37</v>
          </cell>
          <cell r="G17" t="str">
            <v>Google語音助理
(WiFi)
(停產)</v>
          </cell>
          <cell r="H17" t="str">
            <v>尺寸：86*86*38.3mm
電源供應器：AC110-250V，50/60Hz
最大限度。負載：800W/組
工作溫度：0℃~45℃
工作濕度：&lt;90RH</v>
          </cell>
          <cell r="I17" t="str">
            <v>需提供零線(N)-白線
採用86底盒安裝(智崴提供)</v>
          </cell>
          <cell r="J17"/>
          <cell r="K17" t="str">
            <v>顆</v>
          </cell>
          <cell r="L17">
            <v>24</v>
          </cell>
          <cell r="M17">
            <v>24</v>
          </cell>
          <cell r="N17">
            <v>24</v>
          </cell>
          <cell r="O17">
            <v>25.92</v>
          </cell>
          <cell r="P17">
            <v>0.22</v>
          </cell>
          <cell r="Q17">
            <v>0.22</v>
          </cell>
          <cell r="R17">
            <v>24.75</v>
          </cell>
          <cell r="S17">
            <v>6</v>
          </cell>
        </row>
        <row r="18">
          <cell r="C18" t="str">
            <v>T60W2Z</v>
          </cell>
          <cell r="D18" t="str">
            <v>MixSwitch · Gauss 二切</v>
          </cell>
          <cell r="E18">
            <v>77.00018</v>
          </cell>
          <cell r="F18">
            <v>38</v>
          </cell>
          <cell r="G18" t="str">
            <v>HDMI氛圍燈帶（120Hz）
(停售)</v>
          </cell>
          <cell r="H18" t="str">
            <v xml:space="preserve"> 尺寸：86*86*38.3mm
電源供應器：AC110-250V，50/60Hz
最大限度。負載：800W/路（兩路合計小於1200W）
工作溫度：0℃~45℃
工作濕度：&lt;90RH</v>
          </cell>
          <cell r="I18" t="str">
            <v>需提供零線(N)-白線
採用86底盒安裝(智崴提供)</v>
          </cell>
          <cell r="J18"/>
          <cell r="K18" t="str">
            <v>顆</v>
          </cell>
          <cell r="L18">
            <v>27</v>
          </cell>
          <cell r="M18">
            <v>27</v>
          </cell>
          <cell r="N18">
            <v>27</v>
          </cell>
          <cell r="O18">
            <v>29.160000000000004</v>
          </cell>
          <cell r="P18">
            <v>0.22</v>
          </cell>
          <cell r="Q18">
            <v>0.22</v>
          </cell>
          <cell r="R18">
            <v>24.75</v>
          </cell>
          <cell r="S18">
            <v>6</v>
          </cell>
        </row>
        <row r="19">
          <cell r="C19" t="str">
            <v>T60W3Z</v>
          </cell>
          <cell r="D19" t="str">
            <v>MixSwitch · Gauss 三切</v>
          </cell>
          <cell r="E19">
            <v>77.000190000000003</v>
          </cell>
          <cell r="F19">
            <v>39</v>
          </cell>
          <cell r="G19" t="str">
            <v>LED 色溫燈條</v>
          </cell>
          <cell r="H19" t="str">
            <v xml:space="preserve"> 尺寸：86*86*38.3mm
電源供應器：AC110-250V，50/60Hz
最大限度。負載：800W/路（三迴路合計小於1200W）
工作溫度：0℃~45℃
工作濕度：&lt;90RH</v>
          </cell>
          <cell r="I19" t="str">
            <v>需提供零線(N)-白線
採用86底盒安裝(智崴提供)</v>
          </cell>
          <cell r="J19"/>
          <cell r="K19" t="str">
            <v>顆</v>
          </cell>
          <cell r="L19">
            <v>29</v>
          </cell>
          <cell r="M19">
            <v>29</v>
          </cell>
          <cell r="N19">
            <v>29</v>
          </cell>
          <cell r="O19">
            <v>31.32</v>
          </cell>
          <cell r="P19">
            <v>0.23100000000000001</v>
          </cell>
          <cell r="Q19">
            <v>0.23100000000000001</v>
          </cell>
          <cell r="R19">
            <v>25.987500000000001</v>
          </cell>
          <cell r="S19">
            <v>6</v>
          </cell>
        </row>
        <row r="20">
          <cell r="C20" t="str">
            <v>C1</v>
          </cell>
          <cell r="D20" t="str">
            <v>智慧門鎖C1-WiFi版(國際)</v>
          </cell>
          <cell r="E20">
            <v>46268.000200000002</v>
          </cell>
          <cell r="F20">
            <v>194</v>
          </cell>
          <cell r="G20" t="str">
            <v>LED RGB 三色燈條</v>
          </cell>
          <cell r="H20" t="str">
            <v>尺寸：352mm*70mm*67mm
電源：DC 6V（4顆AA電池）
應急電源：DC 5V，C型
支援門板厚度：40~120mm（標準：50~90mm)
工作溫度：-20～60℃</v>
          </cell>
          <cell r="I20"/>
          <cell r="J20"/>
          <cell r="K20" t="str">
            <v>把</v>
          </cell>
          <cell r="L20">
            <v>94</v>
          </cell>
          <cell r="M20">
            <v>94</v>
          </cell>
          <cell r="N20">
            <v>94</v>
          </cell>
          <cell r="O20">
            <v>101.52000000000001</v>
          </cell>
          <cell r="P20">
            <v>4.4000000000000004</v>
          </cell>
          <cell r="Q20">
            <v>4.4000000000000004</v>
          </cell>
          <cell r="R20">
            <v>495.00000000000006</v>
          </cell>
          <cell r="S20">
            <v>15</v>
          </cell>
        </row>
        <row r="21">
          <cell r="C21" t="str">
            <v>V5</v>
          </cell>
          <cell r="D21" t="str">
            <v>人臉辨識門鎖V5(黑)</v>
          </cell>
          <cell r="E21">
            <v>42056.000209999998</v>
          </cell>
          <cell r="F21">
            <v>128</v>
          </cell>
          <cell r="G21" t="str">
            <v>LED RGBW 四色燈條</v>
          </cell>
          <cell r="H21" t="str">
            <v>電源：鋰電池：DC 7.4V，乾電池：DC 9V 
電池類型：5000mAh（7.4V）電池，6*AA電池（6顆/組） 
緊急電源：DC 5V（Type C介面） 
尺寸：室外及室內面板：403 * 70 * 56mm 
開鎖方式：人臉辨識、指紋、密碼、卡片、Android手機NFC、遠端授權、視訊授權、MixPad開鎖、機械鑰匙 
用戶：1 * 管理員、49 * 普通用戶、4 * 臨時用戶</v>
          </cell>
          <cell r="I21"/>
          <cell r="J21"/>
          <cell r="K21" t="str">
            <v>把</v>
          </cell>
          <cell r="L21">
            <v>285.71428571428572</v>
          </cell>
          <cell r="M21">
            <v>293</v>
          </cell>
          <cell r="N21">
            <v>293</v>
          </cell>
          <cell r="O21">
            <v>316.44</v>
          </cell>
          <cell r="P21"/>
          <cell r="Q21">
            <v>5.5</v>
          </cell>
          <cell r="R21">
            <v>618.75</v>
          </cell>
          <cell r="S21">
            <v>15</v>
          </cell>
        </row>
        <row r="22">
          <cell r="C22" t="str">
            <v>C1-70C</v>
          </cell>
          <cell r="D22" t="str">
            <v>C1 7cm 鎖夾</v>
          </cell>
          <cell r="E22">
            <v>67.000219999999999</v>
          </cell>
          <cell r="F22">
            <v>12</v>
          </cell>
          <cell r="G22" t="str">
            <v>LED RGBWC 五色燈條</v>
          </cell>
          <cell r="H22"/>
          <cell r="I22"/>
          <cell r="J22"/>
          <cell r="K22" t="str">
            <v>個</v>
          </cell>
          <cell r="L22">
            <v>29</v>
          </cell>
          <cell r="M22"/>
          <cell r="N22">
            <v>29</v>
          </cell>
          <cell r="O22">
            <v>31.32</v>
          </cell>
          <cell r="P22"/>
          <cell r="Q22">
            <v>0</v>
          </cell>
          <cell r="R22">
            <v>0</v>
          </cell>
          <cell r="S22">
            <v>6</v>
          </cell>
        </row>
        <row r="23">
          <cell r="C23" t="str">
            <v>SHOWCASE-C1</v>
          </cell>
          <cell r="D23" t="str">
            <v>C1展示架</v>
          </cell>
          <cell r="E23">
            <v>67.000230000000002</v>
          </cell>
          <cell r="F23">
            <v>13</v>
          </cell>
          <cell r="G23" t="str">
            <v>LED 燈變壓器12V 80W</v>
          </cell>
          <cell r="H23"/>
          <cell r="I23"/>
          <cell r="J23"/>
          <cell r="K23" t="str">
            <v>座</v>
          </cell>
          <cell r="L23">
            <v>50</v>
          </cell>
          <cell r="M23"/>
          <cell r="N23">
            <v>50</v>
          </cell>
          <cell r="O23">
            <v>54</v>
          </cell>
          <cell r="P23"/>
          <cell r="Q23">
            <v>0</v>
          </cell>
          <cell r="R23">
            <v>0</v>
          </cell>
          <cell r="S23">
            <v>3</v>
          </cell>
        </row>
        <row r="24">
          <cell r="C24" t="str">
            <v>SHOWCASE-V5</v>
          </cell>
          <cell r="D24" t="str">
            <v>V5展示架</v>
          </cell>
          <cell r="E24">
            <v>86.000240000000005</v>
          </cell>
          <cell r="F24">
            <v>101</v>
          </cell>
          <cell r="G24" t="str">
            <v>LED 燈變壓器12V 250W</v>
          </cell>
          <cell r="H24"/>
          <cell r="I24"/>
          <cell r="J24"/>
          <cell r="K24" t="str">
            <v>座</v>
          </cell>
          <cell r="L24">
            <v>50</v>
          </cell>
          <cell r="M24"/>
          <cell r="N24">
            <v>50</v>
          </cell>
          <cell r="O24">
            <v>54</v>
          </cell>
          <cell r="P24"/>
          <cell r="Q24">
            <v>0</v>
          </cell>
          <cell r="R24">
            <v>0</v>
          </cell>
          <cell r="S24">
            <v>3</v>
          </cell>
        </row>
        <row r="25">
          <cell r="C25" t="str">
            <v>CT30W</v>
          </cell>
          <cell r="D25" t="str">
            <v>小圓遙控器</v>
          </cell>
          <cell r="E25">
            <v>42096.000249999997</v>
          </cell>
          <cell r="F25">
            <v>136</v>
          </cell>
          <cell r="G25" t="str">
            <v>LED 燈變壓器12V 500W</v>
          </cell>
          <cell r="H25" t="str">
            <v>電源供應器：DC5V，1A，微型USB
尺寸：φ66*42.5mm
無線標準：Wi-Fi 2.4GHz b/g/n</v>
          </cell>
          <cell r="I25" t="str">
            <v>需提供110V插座</v>
          </cell>
          <cell r="J25"/>
          <cell r="K25" t="str">
            <v>顆</v>
          </cell>
          <cell r="L25">
            <v>7.5</v>
          </cell>
          <cell r="M25">
            <v>7.5</v>
          </cell>
          <cell r="N25">
            <v>7.5</v>
          </cell>
          <cell r="O25">
            <v>8.1000000000000014</v>
          </cell>
          <cell r="P25">
            <v>0.15</v>
          </cell>
          <cell r="Q25">
            <v>0.15</v>
          </cell>
          <cell r="R25">
            <v>16.875</v>
          </cell>
          <cell r="S25">
            <v>1</v>
          </cell>
        </row>
        <row r="26">
          <cell r="C26" t="str">
            <v>CM10ZW</v>
          </cell>
          <cell r="D26" t="str">
            <v>多功能控制盒</v>
          </cell>
          <cell r="E26">
            <v>42600.000260000001</v>
          </cell>
          <cell r="F26">
            <v>141</v>
          </cell>
          <cell r="G26" t="str">
            <v>LED 燈變壓器24V 100W</v>
          </cell>
          <cell r="H26" t="str">
            <v>尺寸：70*70*23mm
電氣參數：AC100V-240V，50/60Hz
工作溫度：-20～60℃
最大限度。負載：1A（每環）</v>
          </cell>
          <cell r="I26" t="str">
            <v>需提供110V電源
被控制設備需有4線式乾接點控制線</v>
          </cell>
          <cell r="J26"/>
          <cell r="K26" t="str">
            <v>顆</v>
          </cell>
          <cell r="L26">
            <v>27</v>
          </cell>
          <cell r="M26">
            <v>27</v>
          </cell>
          <cell r="N26">
            <v>27</v>
          </cell>
          <cell r="O26">
            <v>29.160000000000004</v>
          </cell>
          <cell r="P26">
            <v>0.13500000000000001</v>
          </cell>
          <cell r="Q26">
            <v>0.13500000000000001</v>
          </cell>
          <cell r="R26">
            <v>15.1875</v>
          </cell>
          <cell r="S26">
            <v>1</v>
          </cell>
        </row>
        <row r="27">
          <cell r="C27" t="str">
            <v>CD10ZW</v>
          </cell>
          <cell r="D27" t="str">
            <v>感應器控制盒</v>
          </cell>
          <cell r="E27">
            <v>46928.000269999997</v>
          </cell>
          <cell r="F27">
            <v>232</v>
          </cell>
          <cell r="G27" t="str">
            <v>LED 燈變壓器24V 250W</v>
          </cell>
          <cell r="H27" t="str">
            <v>尺寸：70*70*23mm
電氣參數：DC12V
工作溫度：-15～45℃
最大限度。負載：1A（每環）</v>
          </cell>
          <cell r="I27" t="str">
            <v>需提供110V電源</v>
          </cell>
          <cell r="J27"/>
          <cell r="K27" t="str">
            <v>顆</v>
          </cell>
          <cell r="L27">
            <v>29.01</v>
          </cell>
          <cell r="M27">
            <v>29.01</v>
          </cell>
          <cell r="N27">
            <v>29.01</v>
          </cell>
          <cell r="O27">
            <v>31.330800000000004</v>
          </cell>
          <cell r="P27">
            <v>0.12</v>
          </cell>
          <cell r="Q27">
            <v>0.12</v>
          </cell>
          <cell r="R27">
            <v>13.5</v>
          </cell>
          <cell r="S27">
            <v>1</v>
          </cell>
        </row>
        <row r="28">
          <cell r="C28" t="str">
            <v>CV70ZW</v>
          </cell>
          <cell r="D28" t="str">
            <v>AirMaster Max</v>
          </cell>
          <cell r="E28">
            <v>65.000280000000004</v>
          </cell>
          <cell r="F28">
            <v>11</v>
          </cell>
          <cell r="G28" t="str">
            <v>LED 燈變壓器24V 500W</v>
          </cell>
          <cell r="H28" t="str">
            <v>尺寸：105*86*35mm
電源：DC12V
工作溫度：0℃~40℃
工作濕度：20%-85%</v>
          </cell>
          <cell r="I28"/>
          <cell r="J28"/>
          <cell r="K28" t="str">
            <v>顆</v>
          </cell>
          <cell r="L28">
            <v>266</v>
          </cell>
          <cell r="M28">
            <v>266</v>
          </cell>
          <cell r="N28">
            <v>266</v>
          </cell>
          <cell r="O28">
            <v>287.28000000000003</v>
          </cell>
          <cell r="P28">
            <v>0.3</v>
          </cell>
          <cell r="Q28">
            <v>0.3</v>
          </cell>
          <cell r="R28">
            <v>33.75</v>
          </cell>
          <cell r="S28">
            <v>1</v>
          </cell>
        </row>
        <row r="29">
          <cell r="C29" t="str">
            <v>SC40PT</v>
          </cell>
          <cell r="D29" t="str">
            <v>大白旋轉式監視器-Wifi</v>
          </cell>
          <cell r="E29">
            <v>42090.000290000004</v>
          </cell>
          <cell r="F29">
            <v>135</v>
          </cell>
          <cell r="G29" t="str">
            <v>LED 燈變壓器48V 350W</v>
          </cell>
          <cell r="H29" t="str">
            <v>圖元：200萬（1080P）
尺寸：76x72x118mm
顏色：白色
電源：DC5V/1A
雲台角度：水準0°~355°/垂直0°~60°</v>
          </cell>
          <cell r="I29" t="str">
            <v>需提供110V插座</v>
          </cell>
          <cell r="J29"/>
          <cell r="K29" t="str">
            <v>台</v>
          </cell>
          <cell r="L29">
            <v>26</v>
          </cell>
          <cell r="M29">
            <v>26</v>
          </cell>
          <cell r="N29">
            <v>26</v>
          </cell>
          <cell r="O29">
            <v>28.080000000000002</v>
          </cell>
          <cell r="P29">
            <v>0.39500000000000002</v>
          </cell>
          <cell r="Q29">
            <v>0.39500000000000002</v>
          </cell>
          <cell r="R29">
            <v>44.4375</v>
          </cell>
          <cell r="S29">
            <v>3</v>
          </cell>
        </row>
        <row r="30">
          <cell r="C30" t="str">
            <v>BC10</v>
          </cell>
          <cell r="D30" t="str">
            <v>智慧戶外型高清監視器S3</v>
          </cell>
          <cell r="E30">
            <v>46268.0003</v>
          </cell>
          <cell r="F30">
            <v>195</v>
          </cell>
          <cell r="G30" t="str">
            <v>LED 燈變壓器48V 1500W</v>
          </cell>
          <cell r="H30" t="str">
            <v>尺寸：146×65×65毫米
電源供應器：直流12V 1A/PoE 48V
圖元：4MP（2560*1440）
鏡頭：2.8mm F1.6
無線網路：2.4G WiFi(IEEE802.11b/g/n/)
PoE 標準：IEEE 802.3at</v>
          </cell>
          <cell r="I30" t="str">
            <v>需提供110V插座
若需要使用POE供電使用CAT6等級一上之網路線材</v>
          </cell>
          <cell r="J30"/>
          <cell r="K30" t="str">
            <v>台</v>
          </cell>
          <cell r="L30">
            <v>52</v>
          </cell>
          <cell r="M30">
            <v>52</v>
          </cell>
          <cell r="N30">
            <v>52</v>
          </cell>
          <cell r="O30">
            <v>56.160000000000004</v>
          </cell>
          <cell r="P30">
            <v>0.76</v>
          </cell>
          <cell r="Q30">
            <v>0.76</v>
          </cell>
          <cell r="R30">
            <v>85.5</v>
          </cell>
          <cell r="S30">
            <v>3</v>
          </cell>
        </row>
        <row r="31">
          <cell r="C31" t="str">
            <v>SC41PT</v>
          </cell>
          <cell r="D31" t="str">
            <v>巨目旋轉式監視器-Wifi</v>
          </cell>
          <cell r="E31">
            <v>42408.000310000003</v>
          </cell>
          <cell r="F31">
            <v>139</v>
          </cell>
          <cell r="G31" t="str">
            <v>Mini主機</v>
          </cell>
          <cell r="H31" t="str">
            <v>尺寸：146×65×65毫米
電源供應器：直流12V 1A/PoE 48V
圖元：4MP（2560*1440）
鏡頭：2.8mm F1.6
無線網路：2.4G WiFi(IEEE802.11b/g/n/)
PoE 標準：IEEE 802.3at</v>
          </cell>
          <cell r="I31"/>
          <cell r="J31"/>
          <cell r="K31" t="str">
            <v>台</v>
          </cell>
          <cell r="L31">
            <v>38</v>
          </cell>
          <cell r="M31">
            <v>38</v>
          </cell>
          <cell r="N31">
            <v>38</v>
          </cell>
          <cell r="O31">
            <v>41.040000000000006</v>
          </cell>
          <cell r="P31">
            <v>0.35</v>
          </cell>
          <cell r="Q31">
            <v>0.76</v>
          </cell>
          <cell r="R31">
            <v>85.5</v>
          </cell>
          <cell r="S31">
            <v>3</v>
          </cell>
        </row>
        <row r="32">
          <cell r="C32" t="str">
            <v>NVR108P</v>
          </cell>
          <cell r="D32" t="str">
            <v>戶外型監視器專用NVR</v>
          </cell>
          <cell r="E32">
            <v>42209.000319999999</v>
          </cell>
          <cell r="F32">
            <v>138</v>
          </cell>
          <cell r="G32" t="str">
            <v>MixPad 7 L&amp;N</v>
          </cell>
          <cell r="H32" t="str">
            <v>與智慧室外攝影機 S3 搭配使用
NVR儲存</v>
          </cell>
          <cell r="I32"/>
          <cell r="J32"/>
          <cell r="K32" t="str">
            <v>台</v>
          </cell>
          <cell r="L32">
            <v>179.47</v>
          </cell>
          <cell r="M32">
            <v>179.47</v>
          </cell>
          <cell r="N32">
            <v>179.47</v>
          </cell>
          <cell r="O32">
            <v>193.82760000000002</v>
          </cell>
          <cell r="P32">
            <v>2.9</v>
          </cell>
          <cell r="Q32">
            <v>2.9</v>
          </cell>
          <cell r="R32">
            <v>326.25</v>
          </cell>
          <cell r="S32">
            <v>6</v>
          </cell>
        </row>
        <row r="33">
          <cell r="C33" t="str">
            <v>NVRWD-2T</v>
          </cell>
          <cell r="D33" t="str">
            <v>監控硬碟2T</v>
          </cell>
          <cell r="E33">
            <v>47818.000330000003</v>
          </cell>
          <cell r="F33">
            <v>245</v>
          </cell>
          <cell r="G33" t="str">
            <v>MixPad X</v>
          </cell>
          <cell r="H33"/>
          <cell r="I33"/>
          <cell r="J33"/>
          <cell r="K33" t="str">
            <v>顆</v>
          </cell>
          <cell r="L33">
            <v>3036</v>
          </cell>
          <cell r="M33"/>
          <cell r="N33">
            <v>3036</v>
          </cell>
          <cell r="O33"/>
          <cell r="P33"/>
          <cell r="Q33">
            <v>0</v>
          </cell>
          <cell r="R33">
            <v>0</v>
          </cell>
          <cell r="S33"/>
        </row>
        <row r="34">
          <cell r="C34" t="str">
            <v>NVRWD-4T</v>
          </cell>
          <cell r="D34" t="str">
            <v>監控硬碟4T</v>
          </cell>
          <cell r="E34">
            <v>47818.000339999999</v>
          </cell>
          <cell r="F34">
            <v>246</v>
          </cell>
          <cell r="G34" t="str">
            <v>MixPAD Mini M2 黑
(L / N版本)</v>
          </cell>
          <cell r="H34"/>
          <cell r="I34"/>
          <cell r="J34"/>
          <cell r="K34" t="str">
            <v>顆</v>
          </cell>
          <cell r="L34">
            <v>4553.9999999999991</v>
          </cell>
          <cell r="M34"/>
          <cell r="N34">
            <v>4553.9999999999991</v>
          </cell>
          <cell r="O34"/>
          <cell r="P34"/>
          <cell r="Q34">
            <v>0</v>
          </cell>
          <cell r="R34">
            <v>0</v>
          </cell>
          <cell r="S34"/>
        </row>
        <row r="35">
          <cell r="C35" t="str">
            <v>NVRWD-6T</v>
          </cell>
          <cell r="D35" t="str">
            <v>監控硬碟6T</v>
          </cell>
          <cell r="E35">
            <v>47818.000350000002</v>
          </cell>
          <cell r="F35">
            <v>247</v>
          </cell>
          <cell r="G35" t="str">
            <v>MixPAD Mini M2 白
(L / N版本)</v>
          </cell>
          <cell r="H35"/>
          <cell r="I35"/>
          <cell r="J35"/>
          <cell r="K35" t="str">
            <v>顆</v>
          </cell>
          <cell r="L35">
            <v>7313.9999999999991</v>
          </cell>
          <cell r="M35"/>
          <cell r="N35">
            <v>7313.9999999999991</v>
          </cell>
          <cell r="O35"/>
          <cell r="P35"/>
          <cell r="Q35">
            <v>0</v>
          </cell>
          <cell r="R35">
            <v>0</v>
          </cell>
          <cell r="S35"/>
        </row>
        <row r="36">
          <cell r="C36" t="str">
            <v>NVRWD-8T</v>
          </cell>
          <cell r="D36" t="str">
            <v>監控硬碟8T</v>
          </cell>
          <cell r="E36">
            <v>47818.000359999998</v>
          </cell>
          <cell r="F36">
            <v>248</v>
          </cell>
          <cell r="G36" t="str">
            <v>MixPad D1</v>
          </cell>
          <cell r="H36"/>
          <cell r="I36"/>
          <cell r="J36"/>
          <cell r="K36" t="str">
            <v>顆</v>
          </cell>
          <cell r="L36">
            <v>11868</v>
          </cell>
          <cell r="M36"/>
          <cell r="N36">
            <v>11868</v>
          </cell>
          <cell r="O36"/>
          <cell r="P36"/>
          <cell r="Q36">
            <v>0</v>
          </cell>
          <cell r="R36">
            <v>0</v>
          </cell>
          <cell r="S36"/>
        </row>
        <row r="37">
          <cell r="C37" t="str">
            <v>SN20</v>
          </cell>
          <cell r="D37" t="str">
            <v>人體感應器-ZigBee</v>
          </cell>
          <cell r="E37">
            <v>42056.000370000002</v>
          </cell>
          <cell r="F37">
            <v>129</v>
          </cell>
          <cell r="G37" t="str">
            <v>MixSwitch · Gauss 一切</v>
          </cell>
          <cell r="H37" t="str">
            <v>尺寸：48.4*53.4mm
顏色：白色
電源：DC3V CR123A
工作溫度：-10～50℃</v>
          </cell>
          <cell r="I37"/>
          <cell r="J37"/>
          <cell r="K37" t="str">
            <v>顆</v>
          </cell>
          <cell r="L37">
            <v>17</v>
          </cell>
          <cell r="M37">
            <v>17</v>
          </cell>
          <cell r="N37">
            <v>17</v>
          </cell>
          <cell r="O37">
            <v>18.36</v>
          </cell>
          <cell r="P37">
            <v>0.09</v>
          </cell>
          <cell r="Q37">
            <v>0.09</v>
          </cell>
          <cell r="R37">
            <v>10.125</v>
          </cell>
          <cell r="S37">
            <v>1</v>
          </cell>
        </row>
        <row r="38">
          <cell r="C38" t="str">
            <v>SM20</v>
          </cell>
          <cell r="D38" t="str">
            <v>門窗磁感應器-ZigBee</v>
          </cell>
          <cell r="E38">
            <v>43769.000379999998</v>
          </cell>
          <cell r="F38">
            <v>156</v>
          </cell>
          <cell r="G38" t="str">
            <v>MixSwitch · Gauss 二切</v>
          </cell>
          <cell r="H38" t="str">
            <v>發射尺寸：52.6*26.5*13.8mm
磁鐵尺寸：25.5*12.5*13mm
顏色：白色
電源：DC3V CR2032電池
工作溫度：-10～50℃</v>
          </cell>
          <cell r="I38"/>
          <cell r="J38"/>
          <cell r="K38" t="str">
            <v>顆</v>
          </cell>
          <cell r="L38">
            <v>15</v>
          </cell>
          <cell r="M38">
            <v>15</v>
          </cell>
          <cell r="N38">
            <v>15</v>
          </cell>
          <cell r="O38">
            <v>16.200000000000003</v>
          </cell>
          <cell r="P38">
            <v>0.04</v>
          </cell>
          <cell r="Q38">
            <v>0.04</v>
          </cell>
          <cell r="R38">
            <v>4.5</v>
          </cell>
          <cell r="S38">
            <v>1</v>
          </cell>
        </row>
        <row r="39">
          <cell r="C39" t="str">
            <v>CGZ05010</v>
          </cell>
          <cell r="D39" t="str">
            <v>人體狀態偵測器</v>
          </cell>
          <cell r="E39">
            <v>42056.000390000001</v>
          </cell>
          <cell r="F39">
            <v>130</v>
          </cell>
          <cell r="G39" t="str">
            <v>MixSwitch · Gauss 三切</v>
          </cell>
          <cell r="H39" t="str">
            <v>電源供應器：AC100-240V 50Hz
尺寸：φ80*φ65*H45mm
開孔尺寸： φ68mm
檢測角度：&lt;90°</v>
          </cell>
          <cell r="I39" t="str">
            <v>開孔尺寸70mm</v>
          </cell>
          <cell r="J39"/>
          <cell r="K39" t="str">
            <v>顆</v>
          </cell>
          <cell r="L39">
            <v>44</v>
          </cell>
          <cell r="M39">
            <v>44</v>
          </cell>
          <cell r="N39">
            <v>44</v>
          </cell>
          <cell r="O39">
            <v>47.52</v>
          </cell>
          <cell r="P39"/>
          <cell r="Q39">
            <v>0.3</v>
          </cell>
          <cell r="R39">
            <v>33.75</v>
          </cell>
          <cell r="S39">
            <v>1</v>
          </cell>
        </row>
        <row r="40">
          <cell r="C40" t="str">
            <v>SE30</v>
          </cell>
          <cell r="D40" t="str">
            <v>SOS無線緊急求救鈕-ZigBee</v>
          </cell>
          <cell r="E40">
            <v>83.000399999999999</v>
          </cell>
          <cell r="F40">
            <v>66</v>
          </cell>
          <cell r="G40" t="str">
            <v>MixSwitch 開關一切-灰</v>
          </cell>
          <cell r="H40" t="str">
            <v>尺寸：φ50*16毫米
電源：DC3V（CR2032電池）
工作溫度：-10～50℃</v>
          </cell>
          <cell r="I40"/>
          <cell r="J40"/>
          <cell r="K40" t="str">
            <v>顆</v>
          </cell>
          <cell r="L40">
            <v>12</v>
          </cell>
          <cell r="M40">
            <v>12</v>
          </cell>
          <cell r="N40">
            <v>12</v>
          </cell>
          <cell r="O40">
            <v>12.96</v>
          </cell>
          <cell r="P40">
            <v>0.04</v>
          </cell>
          <cell r="Q40">
            <v>0.04</v>
          </cell>
          <cell r="R40">
            <v>4.5</v>
          </cell>
          <cell r="S40">
            <v>1</v>
          </cell>
        </row>
        <row r="41">
          <cell r="C41" t="str">
            <v>SG30</v>
          </cell>
          <cell r="D41" t="str">
            <v>燃氣感應器-ZigBee</v>
          </cell>
          <cell r="E41">
            <v>48981.000410000001</v>
          </cell>
          <cell r="F41">
            <v>264</v>
          </cell>
          <cell r="G41" t="str">
            <v>MixSwitch 開關二切-灰</v>
          </cell>
          <cell r="H41" t="str">
            <v>尺寸：φ85*30mm
電源供應器：輸入AC220V，輸出：DC12V
備用電池：CR2032*1
待機電流：&lt;150mA
檢測氣體：甲烷</v>
          </cell>
          <cell r="I41"/>
          <cell r="J41"/>
          <cell r="K41" t="str">
            <v>顆</v>
          </cell>
          <cell r="L41">
            <v>15.61</v>
          </cell>
          <cell r="M41">
            <v>22</v>
          </cell>
          <cell r="N41">
            <v>22</v>
          </cell>
          <cell r="O41">
            <v>16.858800000000002</v>
          </cell>
          <cell r="P41">
            <v>0.18</v>
          </cell>
          <cell r="Q41">
            <v>0.18</v>
          </cell>
          <cell r="R41">
            <v>20.25</v>
          </cell>
          <cell r="S41">
            <v>1</v>
          </cell>
        </row>
        <row r="42">
          <cell r="C42" t="str">
            <v>SF30</v>
          </cell>
          <cell r="D42" t="str">
            <v>煙霧感應器-ZigBee</v>
          </cell>
          <cell r="E42">
            <v>47055.000419999997</v>
          </cell>
          <cell r="F42">
            <v>234</v>
          </cell>
          <cell r="G42" t="str">
            <v>MixSwitch 開關三切-灰</v>
          </cell>
          <cell r="H42" t="str">
            <v>尺寸：φ90*37mm
電源：DC3V（CR123A電池）
工作溫度：-10～55℃</v>
          </cell>
          <cell r="I42"/>
          <cell r="J42"/>
          <cell r="K42" t="str">
            <v>顆</v>
          </cell>
          <cell r="L42">
            <v>13</v>
          </cell>
          <cell r="M42">
            <v>13</v>
          </cell>
          <cell r="N42">
            <v>13</v>
          </cell>
          <cell r="O42">
            <v>14.040000000000001</v>
          </cell>
          <cell r="P42">
            <v>0.16</v>
          </cell>
          <cell r="Q42">
            <v>0.16</v>
          </cell>
          <cell r="R42">
            <v>18</v>
          </cell>
          <cell r="S42">
            <v>1</v>
          </cell>
        </row>
        <row r="43">
          <cell r="C43" t="str">
            <v>SW30</v>
          </cell>
          <cell r="D43" t="str">
            <v>浸水感應器-ZigBee</v>
          </cell>
          <cell r="E43">
            <v>44795.00043</v>
          </cell>
          <cell r="F43">
            <v>178</v>
          </cell>
          <cell r="G43" t="str">
            <v>MixSwitch 開關四切-灰</v>
          </cell>
          <cell r="H43" t="str">
            <v>尺寸：φ50*18毫米  
電源：DC3V（CR2032電池）
工作溫度：-10～50℃</v>
          </cell>
          <cell r="I43"/>
          <cell r="J43"/>
          <cell r="K43" t="str">
            <v>顆</v>
          </cell>
          <cell r="L43">
            <v>12</v>
          </cell>
          <cell r="M43">
            <v>12</v>
          </cell>
          <cell r="N43">
            <v>12</v>
          </cell>
          <cell r="O43">
            <v>12.96</v>
          </cell>
          <cell r="P43">
            <v>0.04</v>
          </cell>
          <cell r="Q43">
            <v>0.04</v>
          </cell>
          <cell r="R43">
            <v>4.5</v>
          </cell>
          <cell r="S43">
            <v>1</v>
          </cell>
        </row>
        <row r="44">
          <cell r="C44" t="str">
            <v>ST30</v>
          </cell>
          <cell r="D44" t="str">
            <v>溫溼度感應器-ZigBee</v>
          </cell>
          <cell r="E44">
            <v>47045.000440000003</v>
          </cell>
          <cell r="F44">
            <v>233</v>
          </cell>
          <cell r="G44" t="str">
            <v>MixSwitch 開關一切-白</v>
          </cell>
          <cell r="H44" t="str">
            <v>尺寸：φ61.2*23mm
電源：DC3V（AAA電池）
工作溫度：-10～50℃</v>
          </cell>
          <cell r="I44"/>
          <cell r="J44"/>
          <cell r="K44" t="str">
            <v>顆</v>
          </cell>
          <cell r="L44">
            <v>17</v>
          </cell>
          <cell r="M44">
            <v>17</v>
          </cell>
          <cell r="N44">
            <v>17</v>
          </cell>
          <cell r="O44">
            <v>18.36</v>
          </cell>
          <cell r="P44">
            <v>0.09</v>
          </cell>
          <cell r="Q44">
            <v>0.09</v>
          </cell>
          <cell r="R44">
            <v>10.125</v>
          </cell>
          <cell r="S44">
            <v>1</v>
          </cell>
        </row>
        <row r="45">
          <cell r="C45" t="str">
            <v>T70W1ZW</v>
          </cell>
          <cell r="D45" t="str">
            <v>美規一開Pro-白</v>
          </cell>
          <cell r="E45">
            <v>44284.00045</v>
          </cell>
          <cell r="F45">
            <v>157</v>
          </cell>
          <cell r="G45" t="str">
            <v>MixSwitch 開關二切-白</v>
          </cell>
          <cell r="H45" t="str">
            <v>輸入：100-265V~,50/60Hz
最大負載：&lt;400w
尺寸：120mm*72mm*34mm
顏色: 白色
協議：ZigBee 3.0
溫濕度：-10℃~50℃，&lt;90% RH</v>
          </cell>
          <cell r="I45" t="str">
            <v>需提供零線(N)-白線</v>
          </cell>
          <cell r="J45"/>
          <cell r="K45" t="str">
            <v>顆</v>
          </cell>
          <cell r="L45">
            <v>17</v>
          </cell>
          <cell r="M45">
            <v>17</v>
          </cell>
          <cell r="N45">
            <v>17</v>
          </cell>
          <cell r="O45">
            <v>18.36</v>
          </cell>
          <cell r="P45">
            <v>0.20933333333333301</v>
          </cell>
          <cell r="Q45">
            <v>0.20933333333333301</v>
          </cell>
          <cell r="R45">
            <v>23.549999999999965</v>
          </cell>
          <cell r="S45">
            <v>3</v>
          </cell>
        </row>
        <row r="46">
          <cell r="C46" t="str">
            <v>T70W2ZW</v>
          </cell>
          <cell r="D46" t="str">
            <v>美規二開Pro-白</v>
          </cell>
          <cell r="E46">
            <v>44284.000460000003</v>
          </cell>
          <cell r="F46">
            <v>158</v>
          </cell>
          <cell r="G46" t="str">
            <v>MixSwitch 開關三切-白</v>
          </cell>
          <cell r="H46" t="str">
            <v>輸入：100-265V~,50/60Hz
最大負載：&lt;400w/迴路
尺寸：120mm*72mm*34mm
顏色: 白色
協議：ZigBee 3.0
溫濕度：-10℃~50℃，&lt;90% RH</v>
          </cell>
          <cell r="I46" t="str">
            <v>需提供零線(N)-白線</v>
          </cell>
          <cell r="J46"/>
          <cell r="K46" t="str">
            <v>顆</v>
          </cell>
          <cell r="L46">
            <v>18</v>
          </cell>
          <cell r="M46">
            <v>18</v>
          </cell>
          <cell r="N46">
            <v>18</v>
          </cell>
          <cell r="O46">
            <v>19.440000000000001</v>
          </cell>
          <cell r="P46">
            <v>0.21833333333333299</v>
          </cell>
          <cell r="Q46">
            <v>0.21833333333333299</v>
          </cell>
          <cell r="R46">
            <v>24.562499999999964</v>
          </cell>
          <cell r="S46">
            <v>3</v>
          </cell>
        </row>
        <row r="47">
          <cell r="C47" t="str">
            <v>T70W3ZW</v>
          </cell>
          <cell r="D47" t="str">
            <v>美規三開Pro-白</v>
          </cell>
          <cell r="E47">
            <v>44284.000469999999</v>
          </cell>
          <cell r="F47">
            <v>159</v>
          </cell>
          <cell r="G47" t="str">
            <v>MixSwitch 開關四切-白</v>
          </cell>
          <cell r="H47" t="str">
            <v>輸入：100-265V~,50/60Hz
最大負載：&lt;400w/迴路
尺寸：120mm*72mm*34mm
顏色: 白色
協議：ZigBee 3.0
溫濕度：-10℃~50℃，&lt;90% RH</v>
          </cell>
          <cell r="I47" t="str">
            <v>需提供零線(N)-白線</v>
          </cell>
          <cell r="J47"/>
          <cell r="K47" t="str">
            <v>顆</v>
          </cell>
          <cell r="L47">
            <v>19</v>
          </cell>
          <cell r="M47">
            <v>19</v>
          </cell>
          <cell r="N47">
            <v>19</v>
          </cell>
          <cell r="O47">
            <v>20.520000000000003</v>
          </cell>
          <cell r="P47">
            <v>0.21833333333333299</v>
          </cell>
          <cell r="Q47">
            <v>0.21833333333333299</v>
          </cell>
          <cell r="R47">
            <v>24.562499999999964</v>
          </cell>
          <cell r="S47">
            <v>3</v>
          </cell>
        </row>
        <row r="48">
          <cell r="C48" t="str">
            <v>T70S3ZW</v>
          </cell>
          <cell r="D48" t="str">
            <v>美規情景開關Pro-白
(預計2025年7月停產)</v>
          </cell>
          <cell r="E48">
            <v>44284.000480000002</v>
          </cell>
          <cell r="F48">
            <v>160</v>
          </cell>
          <cell r="G48" t="str">
            <v>MixSwitch 黛菲
四切智慧開關-灰</v>
          </cell>
          <cell r="H48" t="str">
            <v>輸入：100-265V~,50/60Hz
尺寸：120mm*72mm*34mm
協議：ZigBee 3.0
溫濕度：-10℃~50℃，&lt;90% RH</v>
          </cell>
          <cell r="I48" t="str">
            <v>需提供零線(N)-白線</v>
          </cell>
          <cell r="J48"/>
          <cell r="K48" t="str">
            <v>顆</v>
          </cell>
          <cell r="L48">
            <v>18</v>
          </cell>
          <cell r="M48">
            <v>18</v>
          </cell>
          <cell r="N48">
            <v>18</v>
          </cell>
          <cell r="O48">
            <v>19.440000000000001</v>
          </cell>
          <cell r="P48">
            <v>0.2</v>
          </cell>
          <cell r="Q48">
            <v>0.2</v>
          </cell>
          <cell r="R48">
            <v>22.5</v>
          </cell>
          <cell r="S48">
            <v>3</v>
          </cell>
        </row>
        <row r="49">
          <cell r="C49" t="str">
            <v>T70W1ZB</v>
          </cell>
          <cell r="D49" t="str">
            <v>美規一開Pro-黑</v>
          </cell>
          <cell r="E49">
            <v>44284.000489999999</v>
          </cell>
          <cell r="F49">
            <v>161</v>
          </cell>
          <cell r="G49" t="str">
            <v>MixSwitch 黛菲
四切智慧開關-白</v>
          </cell>
          <cell r="H49" t="str">
            <v>輸入：100-265V~,50/60Hz
最大負載：&lt;400w
尺寸：120mm*72mm*34mm
顏色：黑色
協議：ZigBee 3.0
溫濕度：-10℃~50℃，&lt;90% RH</v>
          </cell>
          <cell r="I49" t="str">
            <v>需提供零線(N)-白線</v>
          </cell>
          <cell r="J49"/>
          <cell r="K49" t="str">
            <v>顆</v>
          </cell>
          <cell r="L49">
            <v>18</v>
          </cell>
          <cell r="M49">
            <v>18</v>
          </cell>
          <cell r="N49">
            <v>18</v>
          </cell>
          <cell r="O49">
            <v>19.440000000000001</v>
          </cell>
          <cell r="P49">
            <v>0.2</v>
          </cell>
          <cell r="Q49">
            <v>0.2</v>
          </cell>
          <cell r="R49">
            <v>22.5</v>
          </cell>
          <cell r="S49">
            <v>3</v>
          </cell>
        </row>
        <row r="50">
          <cell r="C50" t="str">
            <v>T70W2ZB</v>
          </cell>
          <cell r="D50" t="str">
            <v>美規二開Pro-黑</v>
          </cell>
          <cell r="E50">
            <v>44284.000500000002</v>
          </cell>
          <cell r="F50">
            <v>162</v>
          </cell>
          <cell r="G50" t="str">
            <v>MixSwitch 黛菲
三切+面板智慧開關-灰</v>
          </cell>
          <cell r="H50" t="str">
            <v>輸入：100-265V~,50/60Hz
最大負載：&lt;400w/迴路
尺寸：120mm*72mm*34mm
顏色：黑色
協議：ZigBee 3.0
溫濕度：-10℃~50℃，&lt;90% RH</v>
          </cell>
          <cell r="I50" t="str">
            <v>需提供零線(N)-白線</v>
          </cell>
          <cell r="J50"/>
          <cell r="K50" t="str">
            <v>顆</v>
          </cell>
          <cell r="L50">
            <v>19</v>
          </cell>
          <cell r="M50">
            <v>19</v>
          </cell>
          <cell r="N50">
            <v>19</v>
          </cell>
          <cell r="O50">
            <v>20.520000000000003</v>
          </cell>
          <cell r="P50">
            <v>0.2</v>
          </cell>
          <cell r="Q50">
            <v>0.2</v>
          </cell>
          <cell r="R50">
            <v>22.5</v>
          </cell>
          <cell r="S50">
            <v>3</v>
          </cell>
        </row>
        <row r="51">
          <cell r="C51" t="str">
            <v>T70W3ZB</v>
          </cell>
          <cell r="D51" t="str">
            <v>美規三開Pro-黑</v>
          </cell>
          <cell r="E51">
            <v>44284.000509999998</v>
          </cell>
          <cell r="F51">
            <v>163</v>
          </cell>
          <cell r="G51" t="str">
            <v>MixSwitch 黛菲
三切+面板智慧開關-白</v>
          </cell>
          <cell r="H51" t="str">
            <v>輸入：100-265V~,50/60Hz
最大負載：&lt;400w/迴路
尺寸：120mm*72mm*34mm
顏色：黑色
協議：ZigBee 3.0
溫濕度：-10℃~50℃，&lt;90% RH</v>
          </cell>
          <cell r="I51" t="str">
            <v>需提供零線(N)-白線</v>
          </cell>
          <cell r="J51"/>
          <cell r="K51" t="str">
            <v>顆</v>
          </cell>
          <cell r="L51">
            <v>20</v>
          </cell>
          <cell r="M51">
            <v>20</v>
          </cell>
          <cell r="N51">
            <v>20</v>
          </cell>
          <cell r="O51">
            <v>21.6</v>
          </cell>
          <cell r="P51">
            <v>0.2</v>
          </cell>
          <cell r="Q51">
            <v>0.2</v>
          </cell>
          <cell r="R51">
            <v>22.5</v>
          </cell>
          <cell r="S51">
            <v>3</v>
          </cell>
        </row>
        <row r="52">
          <cell r="C52" t="str">
            <v>T70S3ZB</v>
          </cell>
          <cell r="D52" t="str">
            <v>美規情景開關Pro-黑
(預計2025年7月停產)</v>
          </cell>
          <cell r="E52">
            <v>44284.000520000001</v>
          </cell>
          <cell r="F52">
            <v>164</v>
          </cell>
          <cell r="G52" t="str">
            <v>MixSwitch 巴赫
四切智慧開關-灰</v>
          </cell>
          <cell r="H52" t="str">
            <v>輸入：100-265V~,50/60Hz
尺寸：120mm*72mm*34mm
協議：ZigBee 3.0
溫濕度：-10℃~50℃，&lt;90% RH</v>
          </cell>
          <cell r="I52" t="str">
            <v>需提供零線(N)-白線</v>
          </cell>
          <cell r="J52"/>
          <cell r="K52" t="str">
            <v>顆</v>
          </cell>
          <cell r="L52">
            <v>19</v>
          </cell>
          <cell r="M52">
            <v>19</v>
          </cell>
          <cell r="N52">
            <v>19</v>
          </cell>
          <cell r="O52">
            <v>20.520000000000003</v>
          </cell>
          <cell r="P52">
            <v>0.2</v>
          </cell>
          <cell r="Q52">
            <v>0.2</v>
          </cell>
          <cell r="R52">
            <v>22.5</v>
          </cell>
          <cell r="S52">
            <v>3</v>
          </cell>
        </row>
        <row r="53">
          <cell r="C53" t="str">
            <v>T40W1Z</v>
          </cell>
          <cell r="D53" t="str">
            <v>MixSwitch 開關一切-灰</v>
          </cell>
          <cell r="E53">
            <v>77.000529999999998</v>
          </cell>
          <cell r="F53">
            <v>40</v>
          </cell>
          <cell r="G53" t="str">
            <v>MixSwitch 巴赫
四切智慧開關-藍</v>
          </cell>
          <cell r="H53" t="str">
            <v>尺寸：86*86*32mm
電源供應器：AC110-250V，50/60Hz
最大限度。負載：400W/組
工作溫度：-20℃~60℃
工作濕度：&lt;80%</v>
          </cell>
          <cell r="I53" t="str">
            <v>需提供零線(N)-白線
採用86底盒安裝(智崴提供)</v>
          </cell>
          <cell r="J53"/>
          <cell r="K53" t="str">
            <v>顆</v>
          </cell>
          <cell r="L53">
            <v>22</v>
          </cell>
          <cell r="M53">
            <v>22</v>
          </cell>
          <cell r="N53">
            <v>22</v>
          </cell>
          <cell r="O53">
            <v>23.76</v>
          </cell>
          <cell r="P53">
            <v>0.17749999999999999</v>
          </cell>
          <cell r="Q53">
            <v>0.17749999999999999</v>
          </cell>
          <cell r="R53">
            <v>19.96875</v>
          </cell>
          <cell r="S53">
            <v>3</v>
          </cell>
        </row>
        <row r="54">
          <cell r="C54" t="str">
            <v>T40W2Z</v>
          </cell>
          <cell r="D54" t="str">
            <v>MixSwitch 開關二切-灰</v>
          </cell>
          <cell r="E54">
            <v>77.000540000000001</v>
          </cell>
          <cell r="F54">
            <v>41</v>
          </cell>
          <cell r="G54" t="str">
            <v>MixSwitch 巴赫
八切智慧開關-灰</v>
          </cell>
          <cell r="H54" t="str">
            <v>尺寸：86*86*32mm
電源供應器：AC110-250V，50/60Hz
最大限度。負載：400W/組
工作溫度：-20℃~60℃
工作濕度：&lt;80%</v>
          </cell>
          <cell r="I54" t="str">
            <v>需提供零線(N)-白線
採用86底盒安裝(智崴提供)</v>
          </cell>
          <cell r="J54"/>
          <cell r="K54" t="str">
            <v>顆</v>
          </cell>
          <cell r="L54">
            <v>24</v>
          </cell>
          <cell r="M54">
            <v>24</v>
          </cell>
          <cell r="N54">
            <v>24</v>
          </cell>
          <cell r="O54">
            <v>25.92</v>
          </cell>
          <cell r="P54">
            <v>0.3</v>
          </cell>
          <cell r="Q54">
            <v>0.3</v>
          </cell>
          <cell r="R54">
            <v>33.75</v>
          </cell>
          <cell r="S54">
            <v>3</v>
          </cell>
        </row>
        <row r="55">
          <cell r="C55" t="str">
            <v>T40W3Z</v>
          </cell>
          <cell r="D55" t="str">
            <v>MixSwitch 開關三切-灰</v>
          </cell>
          <cell r="E55">
            <v>77.000550000000004</v>
          </cell>
          <cell r="F55">
            <v>42</v>
          </cell>
          <cell r="G55" t="str">
            <v>MixSwitch 巴赫
八切智慧開關-藍</v>
          </cell>
          <cell r="H55" t="str">
            <v>尺寸：86*86*32mm
電源供應器：AC110-250V，50/60Hz
最大限度。負載：400W/組
工作溫度：-20℃~60℃
工作濕度：&lt;80%</v>
          </cell>
          <cell r="I55" t="str">
            <v>需提供零線(N)-白線
採用86底盒安裝(智崴提供)</v>
          </cell>
          <cell r="J55"/>
          <cell r="K55" t="str">
            <v>顆</v>
          </cell>
          <cell r="L55">
            <v>25</v>
          </cell>
          <cell r="M55">
            <v>25</v>
          </cell>
          <cell r="N55">
            <v>25</v>
          </cell>
          <cell r="O55">
            <v>27</v>
          </cell>
          <cell r="P55">
            <v>0.19500000000000001</v>
          </cell>
          <cell r="Q55">
            <v>0.19500000000000001</v>
          </cell>
          <cell r="R55">
            <v>21.9375</v>
          </cell>
          <cell r="S55">
            <v>3</v>
          </cell>
        </row>
        <row r="56">
          <cell r="C56" t="str">
            <v>T40W4Z</v>
          </cell>
          <cell r="D56" t="str">
            <v>MixSwitch 開關四切-灰</v>
          </cell>
          <cell r="E56">
            <v>77.000559999999993</v>
          </cell>
          <cell r="F56">
            <v>43</v>
          </cell>
          <cell r="G56" t="str">
            <v>Mixpad 精靈
（零火版）白色（不帶閘道）</v>
          </cell>
          <cell r="H56" t="str">
            <v>尺寸：86*86*33mm
電源供應器：AC110-250V，50Hz
最大限度。負載：400W/組
工作溫度：-20℃~60℃
工作濕度：&lt;80%</v>
          </cell>
          <cell r="I56" t="str">
            <v>需提供零線(N)-白線
採用86底盒安裝(智崴提供)</v>
          </cell>
          <cell r="J56"/>
          <cell r="K56" t="str">
            <v>顆</v>
          </cell>
          <cell r="L56">
            <v>26</v>
          </cell>
          <cell r="M56">
            <v>26</v>
          </cell>
          <cell r="N56">
            <v>26</v>
          </cell>
          <cell r="O56">
            <v>28.080000000000002</v>
          </cell>
          <cell r="P56">
            <v>0.21</v>
          </cell>
          <cell r="Q56">
            <v>0.21</v>
          </cell>
          <cell r="R56">
            <v>23.625</v>
          </cell>
          <cell r="S56">
            <v>3</v>
          </cell>
        </row>
        <row r="57">
          <cell r="C57" t="str">
            <v>T40S6Z</v>
          </cell>
          <cell r="D57" t="str">
            <v>智慧隨意貼遙控器-灰</v>
          </cell>
          <cell r="E57">
            <v>46268.000569999997</v>
          </cell>
          <cell r="F57">
            <v>196</v>
          </cell>
          <cell r="G57" t="str">
            <v>MixPAD Mini C2
(L / N版本)
(停產)</v>
          </cell>
          <cell r="H57" t="str">
            <v>尺寸：86*86*10mm
電源：DC3V（CR2032電池）
工作溫度：-20℃~60℃
工作濕度：&lt;80%</v>
          </cell>
          <cell r="I57"/>
          <cell r="J57"/>
          <cell r="K57" t="str">
            <v>顆</v>
          </cell>
          <cell r="L57">
            <v>21.23</v>
          </cell>
          <cell r="M57">
            <v>24</v>
          </cell>
          <cell r="N57">
            <v>24</v>
          </cell>
          <cell r="O57">
            <v>22.928400000000003</v>
          </cell>
          <cell r="P57">
            <v>0.13400000000000001</v>
          </cell>
          <cell r="Q57">
            <v>0.13400000000000001</v>
          </cell>
          <cell r="R57">
            <v>15.075000000000001</v>
          </cell>
          <cell r="S57">
            <v>1</v>
          </cell>
        </row>
        <row r="58">
          <cell r="C58" t="str">
            <v>T40W1ZW</v>
          </cell>
          <cell r="D58" t="str">
            <v>MixSwitch 開關一切-白</v>
          </cell>
          <cell r="E58">
            <v>77.000579999999999</v>
          </cell>
          <cell r="F58">
            <v>44</v>
          </cell>
          <cell r="G58" t="str">
            <v xml:space="preserve">MixSwitch 開關一切-金
</v>
          </cell>
          <cell r="H58" t="str">
            <v>尺寸：86*86*32mm
電源供應器：AC110-250V，50/60Hz
最大限度。負載：400W/組
工作溫度：-20℃~60℃
工作濕度：&lt;80%</v>
          </cell>
          <cell r="I58" t="str">
            <v>需提供零線(N)-白線
採用86底盒安裝(智崴提供)</v>
          </cell>
          <cell r="J58"/>
          <cell r="K58" t="str">
            <v>顆</v>
          </cell>
          <cell r="L58">
            <v>22</v>
          </cell>
          <cell r="M58">
            <v>22</v>
          </cell>
          <cell r="N58">
            <v>22</v>
          </cell>
          <cell r="O58">
            <v>23.76</v>
          </cell>
          <cell r="P58">
            <v>0.3</v>
          </cell>
          <cell r="Q58">
            <v>0.3</v>
          </cell>
          <cell r="R58">
            <v>33.75</v>
          </cell>
          <cell r="S58">
            <v>3</v>
          </cell>
        </row>
        <row r="59">
          <cell r="C59" t="str">
            <v>T40W2ZW</v>
          </cell>
          <cell r="D59" t="str">
            <v>MixSwitch 開關二切-白</v>
          </cell>
          <cell r="E59">
            <v>77.000590000000003</v>
          </cell>
          <cell r="F59">
            <v>45</v>
          </cell>
          <cell r="G59" t="str">
            <v>MixSwitch 開關二切-金</v>
          </cell>
          <cell r="H59" t="str">
            <v>尺寸：86*86*32mm
電源供應器：AC110-250V，50/60Hz
最大限度。負載：400W/組
工作溫度：-20℃~60℃
工作濕度：&lt;80%</v>
          </cell>
          <cell r="I59" t="str">
            <v>需提供零線(N)-白線
採用86底盒安裝(智崴提供)</v>
          </cell>
          <cell r="J59"/>
          <cell r="K59" t="str">
            <v>顆</v>
          </cell>
          <cell r="L59">
            <v>24</v>
          </cell>
          <cell r="M59">
            <v>24</v>
          </cell>
          <cell r="N59">
            <v>24</v>
          </cell>
          <cell r="O59">
            <v>25.92</v>
          </cell>
          <cell r="P59">
            <v>0.3</v>
          </cell>
          <cell r="Q59">
            <v>0.3</v>
          </cell>
          <cell r="R59">
            <v>33.75</v>
          </cell>
          <cell r="S59">
            <v>3</v>
          </cell>
        </row>
        <row r="60">
          <cell r="C60" t="str">
            <v>T40W3ZW</v>
          </cell>
          <cell r="D60" t="str">
            <v>MixSwitch 開關三切-白</v>
          </cell>
          <cell r="E60">
            <v>77.000600000000006</v>
          </cell>
          <cell r="F60">
            <v>46</v>
          </cell>
          <cell r="G60" t="str">
            <v>MixSwitch 開關三切-金</v>
          </cell>
          <cell r="H60" t="str">
            <v>尺寸：86*86*32mm
電源供應器：AC110-250V，50/60Hz
最大限度。負載：400W/組
工作溫度：-20℃~60℃
工作濕度：&lt;80%</v>
          </cell>
          <cell r="I60" t="str">
            <v>需提供零線(N)-白線
採用86底盒安裝(智崴提供)</v>
          </cell>
          <cell r="J60"/>
          <cell r="K60" t="str">
            <v>顆</v>
          </cell>
          <cell r="L60">
            <v>25</v>
          </cell>
          <cell r="M60">
            <v>25</v>
          </cell>
          <cell r="N60">
            <v>25</v>
          </cell>
          <cell r="O60">
            <v>27</v>
          </cell>
          <cell r="P60">
            <v>0.3</v>
          </cell>
          <cell r="Q60">
            <v>0.3</v>
          </cell>
          <cell r="R60">
            <v>33.75</v>
          </cell>
          <cell r="S60">
            <v>3</v>
          </cell>
        </row>
        <row r="61">
          <cell r="C61" t="str">
            <v>T40W4ZW</v>
          </cell>
          <cell r="D61" t="str">
            <v>MixSwitch 開關四切-白</v>
          </cell>
          <cell r="E61">
            <v>77.000609999999995</v>
          </cell>
          <cell r="F61">
            <v>47</v>
          </cell>
          <cell r="G61" t="str">
            <v>MixSwitch 開關四切-金</v>
          </cell>
          <cell r="H61" t="str">
            <v>尺寸：86*86*33mm
電源供應器：AC110-250V，50Hz
最大限度。負載：400W/組
工作溫度：-20℃~60℃
工作濕度：&lt;80%</v>
          </cell>
          <cell r="I61" t="str">
            <v>需提供零線(N)-白線
採用86底盒安裝(智崴提供)</v>
          </cell>
          <cell r="J61"/>
          <cell r="K61" t="str">
            <v>顆</v>
          </cell>
          <cell r="L61">
            <v>26</v>
          </cell>
          <cell r="M61">
            <v>26</v>
          </cell>
          <cell r="N61">
            <v>26</v>
          </cell>
          <cell r="O61">
            <v>28.080000000000002</v>
          </cell>
          <cell r="P61">
            <v>0.22</v>
          </cell>
          <cell r="Q61">
            <v>0.22</v>
          </cell>
          <cell r="R61">
            <v>24.75</v>
          </cell>
          <cell r="S61">
            <v>3</v>
          </cell>
        </row>
        <row r="62">
          <cell r="C62" t="str">
            <v>T40S6ZW</v>
          </cell>
          <cell r="D62" t="str">
            <v>智慧隨意貼遙控器-白
(停產)</v>
          </cell>
          <cell r="E62">
            <v>46268.000619999999</v>
          </cell>
          <cell r="F62">
            <v>197</v>
          </cell>
          <cell r="G62" t="str">
            <v>MixSwitch 巴赫
八切智慧開關-金
(停售)</v>
          </cell>
          <cell r="H62" t="str">
            <v>尺寸：86*86*10mm
電源：DC3V（CR2032電池）
工作溫度：-20℃~60℃
工作濕度：&lt;80%</v>
          </cell>
          <cell r="I62"/>
          <cell r="J62"/>
          <cell r="K62" t="str">
            <v>顆</v>
          </cell>
          <cell r="L62">
            <v>21.23</v>
          </cell>
          <cell r="M62">
            <v>24</v>
          </cell>
          <cell r="N62">
            <v>24</v>
          </cell>
          <cell r="O62">
            <v>22.928400000000003</v>
          </cell>
          <cell r="P62">
            <v>0.13400000000000001</v>
          </cell>
          <cell r="Q62">
            <v>0.13400000000000001</v>
          </cell>
          <cell r="R62">
            <v>15.075000000000001</v>
          </cell>
          <cell r="S62">
            <v>1</v>
          </cell>
        </row>
        <row r="63">
          <cell r="C63" t="str">
            <v>T40S6ZG</v>
          </cell>
          <cell r="D63" t="str">
            <v>智慧隨意貼遙控器-金
(停產)</v>
          </cell>
          <cell r="E63">
            <v>46268.000630000002</v>
          </cell>
          <cell r="F63">
            <v>198</v>
          </cell>
          <cell r="G63" t="str">
            <v>MixSwitch 巴赫
四切智慧開關-金
(停售)</v>
          </cell>
          <cell r="H63" t="str">
            <v>尺寸：86*86*10mm
電源：DC3V（CR2032電池）
工作溫度：-20℃~60℃
工作濕度：&lt;80%</v>
          </cell>
          <cell r="I63"/>
          <cell r="J63"/>
          <cell r="K63" t="str">
            <v>顆</v>
          </cell>
          <cell r="L63">
            <v>21.23</v>
          </cell>
          <cell r="M63">
            <v>24</v>
          </cell>
          <cell r="N63">
            <v>24</v>
          </cell>
          <cell r="O63">
            <v>22.928400000000003</v>
          </cell>
          <cell r="P63">
            <v>0.13400000000000001</v>
          </cell>
          <cell r="Q63">
            <v>0.13400000000000001</v>
          </cell>
          <cell r="R63">
            <v>15.075000000000001</v>
          </cell>
          <cell r="S63">
            <v>1</v>
          </cell>
        </row>
        <row r="64">
          <cell r="C64" t="str">
            <v>T60W1Z</v>
          </cell>
          <cell r="D64" t="str">
            <v>高斯智能開關 MixSwitch Gauss(一切灰色)</v>
          </cell>
          <cell r="E64">
            <v>45226.000639999998</v>
          </cell>
          <cell r="F64">
            <v>179</v>
          </cell>
          <cell r="G64" t="str">
            <v>MixPad 7（Matter）</v>
          </cell>
          <cell r="H64" t="str">
            <v>尺寸：86*86*38.3mm
電源供應器：AC110-250V，50/60Hz
最大限度。負載：800W/組
工作溫度：0℃~45℃
工作濕度：&lt;90RH</v>
          </cell>
          <cell r="I64" t="str">
            <v>需提供零線(N)-白線
採用86底盒安裝(智崴提供)</v>
          </cell>
          <cell r="J64"/>
          <cell r="K64" t="str">
            <v>顆</v>
          </cell>
          <cell r="L64">
            <v>24</v>
          </cell>
          <cell r="M64">
            <v>24</v>
          </cell>
          <cell r="N64">
            <v>24</v>
          </cell>
          <cell r="O64">
            <v>25.92</v>
          </cell>
          <cell r="P64">
            <v>0.22</v>
          </cell>
          <cell r="Q64">
            <v>0.22</v>
          </cell>
          <cell r="R64">
            <v>24.75</v>
          </cell>
          <cell r="S64">
            <v>3</v>
          </cell>
        </row>
        <row r="65">
          <cell r="C65" t="str">
            <v>T60W2Z</v>
          </cell>
          <cell r="D65" t="str">
            <v>高斯智能開關 MixSwitch Gauss(二切灰色)</v>
          </cell>
          <cell r="E65">
            <v>45226.000650000002</v>
          </cell>
          <cell r="F65">
            <v>180</v>
          </cell>
          <cell r="G65" t="str">
            <v>RGB控制器</v>
          </cell>
          <cell r="H65" t="str">
            <v xml:space="preserve"> 尺寸：86*86*38.3mm
電源供應器：AC110-250V，50/60Hz
最大限度。負載：800W/路（兩路合計小於1200W）
工作溫度：0℃~45℃
工作濕度：&lt;90RH</v>
          </cell>
          <cell r="I65" t="str">
            <v>需提供零線(N)-白線
採用86底盒安裝(智崴提供)</v>
          </cell>
          <cell r="J65"/>
          <cell r="K65" t="str">
            <v>顆</v>
          </cell>
          <cell r="L65">
            <v>27</v>
          </cell>
          <cell r="M65">
            <v>27</v>
          </cell>
          <cell r="N65">
            <v>27</v>
          </cell>
          <cell r="O65">
            <v>29.160000000000004</v>
          </cell>
          <cell r="P65">
            <v>0.22</v>
          </cell>
          <cell r="Q65">
            <v>0.22</v>
          </cell>
          <cell r="R65">
            <v>24.75</v>
          </cell>
          <cell r="S65">
            <v>3</v>
          </cell>
        </row>
        <row r="66">
          <cell r="C66" t="str">
            <v>T60W3Z</v>
          </cell>
          <cell r="D66" t="str">
            <v>高斯智能開關 MixSwitch Gauss(三切灰色)</v>
          </cell>
          <cell r="E66">
            <v>45226.000659999998</v>
          </cell>
          <cell r="F66">
            <v>181</v>
          </cell>
          <cell r="G66" t="str">
            <v>SOS無線緊急求救鈕-ZigBee</v>
          </cell>
          <cell r="H66" t="str">
            <v xml:space="preserve"> 尺寸：86*86*38.3mm
電源供應器：AC110-250V，50/60Hz
最大限度。負載：800W/路（三迴路合計小於1200W）
工作溫度：0℃~45℃
工作濕度：&lt;90RH</v>
          </cell>
          <cell r="I66" t="str">
            <v>需提供零線(N)-白線
採用86底盒安裝(智崴提供)</v>
          </cell>
          <cell r="J66"/>
          <cell r="K66" t="str">
            <v>顆</v>
          </cell>
          <cell r="L66">
            <v>29</v>
          </cell>
          <cell r="M66">
            <v>29</v>
          </cell>
          <cell r="N66">
            <v>29</v>
          </cell>
          <cell r="O66">
            <v>31.32</v>
          </cell>
          <cell r="P66">
            <v>0.23100000000000001</v>
          </cell>
          <cell r="Q66">
            <v>0.23100000000000001</v>
          </cell>
          <cell r="R66">
            <v>25.987500000000001</v>
          </cell>
          <cell r="S66">
            <v>3</v>
          </cell>
        </row>
        <row r="67">
          <cell r="C67" t="str">
            <v>D10W4</v>
          </cell>
          <cell r="D67" t="str">
            <v>MixSwitch 黛菲
四切智慧開關-灰</v>
          </cell>
          <cell r="E67">
            <v>77.00067</v>
          </cell>
          <cell r="F67">
            <v>48</v>
          </cell>
          <cell r="G67" t="str">
            <v>SOPRO 投射燈-圓形-7W15°
(停產)</v>
          </cell>
          <cell r="H67" t="str">
            <v>尺寸：92.5 x 86 x 35.25 毫米
顏色: 灰色
電源供應器：AC100-240V，50/60Hz
最大限度。負載：400W/路（四路合計小於1200W）</v>
          </cell>
          <cell r="I67" t="str">
            <v>需提供零線(N)-白線
採用86底盒安裝(智崴提供)</v>
          </cell>
          <cell r="J67"/>
          <cell r="K67" t="str">
            <v>顆</v>
          </cell>
          <cell r="L67">
            <v>36</v>
          </cell>
          <cell r="M67">
            <v>36</v>
          </cell>
          <cell r="N67">
            <v>36</v>
          </cell>
          <cell r="O67">
            <v>38.880000000000003</v>
          </cell>
          <cell r="P67">
            <v>0.23</v>
          </cell>
          <cell r="Q67">
            <v>0.23</v>
          </cell>
          <cell r="R67">
            <v>25.875</v>
          </cell>
          <cell r="S67">
            <v>1</v>
          </cell>
        </row>
        <row r="68">
          <cell r="C68" t="str">
            <v>D10W4</v>
          </cell>
          <cell r="D68" t="str">
            <v>MixSwitch 黛菲
四切智慧開關-白</v>
          </cell>
          <cell r="E68">
            <v>77.000680000000003</v>
          </cell>
          <cell r="F68">
            <v>49</v>
          </cell>
          <cell r="G68" t="str">
            <v>SOPRO 投射燈-圓形-7W24°
(停產)</v>
          </cell>
          <cell r="H68" t="str">
            <v>尺寸：92.5 x 86 x 35.25 毫米
顏色: 灰色
電源供應器：AC100-240V，50/60Hz
最大限度。負載：400W/路（四路合計小於1200W）</v>
          </cell>
          <cell r="I68" t="str">
            <v>需提供零線(N)-白線
採用86底盒安裝(智崴提供)</v>
          </cell>
          <cell r="J68"/>
          <cell r="K68" t="str">
            <v>顆</v>
          </cell>
          <cell r="L68">
            <v>36</v>
          </cell>
          <cell r="M68">
            <v>36</v>
          </cell>
          <cell r="N68">
            <v>36</v>
          </cell>
          <cell r="O68">
            <v>38.880000000000003</v>
          </cell>
          <cell r="P68">
            <v>0.23</v>
          </cell>
          <cell r="Q68">
            <v>0.23</v>
          </cell>
          <cell r="R68">
            <v>25.875</v>
          </cell>
          <cell r="S68">
            <v>1</v>
          </cell>
        </row>
        <row r="69">
          <cell r="C69" t="str">
            <v>DV10</v>
          </cell>
          <cell r="D69" t="str">
            <v>MixSwitch 黛菲
三切+面板智慧開關-灰</v>
          </cell>
          <cell r="E69">
            <v>77.000690000000006</v>
          </cell>
          <cell r="F69">
            <v>50</v>
          </cell>
          <cell r="G69" t="str">
            <v>SOPRO 投射燈-圓形-7W36°
(停產)</v>
          </cell>
          <cell r="H69" t="str">
            <v>尺寸：92.5 x 86 x 38.9 毫米
顏色: 灰色
電源供應器：AC220V，50Hz
螢幕尺寸：2.41吋（只有一個螢幕）
最大限度。負載：1/2迴路&lt;400W/迴路； 3迴路&lt;200W</v>
          </cell>
          <cell r="I69" t="str">
            <v>需提供零線(N)-白線
採用86底盒安裝(智崴提供)</v>
          </cell>
          <cell r="J69"/>
          <cell r="K69" t="str">
            <v>座</v>
          </cell>
          <cell r="L69">
            <v>79</v>
          </cell>
          <cell r="M69">
            <v>79</v>
          </cell>
          <cell r="N69">
            <v>79</v>
          </cell>
          <cell r="O69">
            <v>85.320000000000007</v>
          </cell>
          <cell r="P69">
            <v>0.23749999999999999</v>
          </cell>
          <cell r="Q69">
            <v>0.23749999999999999</v>
          </cell>
          <cell r="R69">
            <v>26.71875</v>
          </cell>
          <cell r="S69">
            <v>1</v>
          </cell>
        </row>
        <row r="70">
          <cell r="C70" t="str">
            <v>DV10</v>
          </cell>
          <cell r="D70" t="str">
            <v>MixSwitch 黛菲
三切+面板智慧開關-白</v>
          </cell>
          <cell r="E70">
            <v>77.000699999999995</v>
          </cell>
          <cell r="F70">
            <v>51</v>
          </cell>
          <cell r="G70" t="str">
            <v>SOPRO 投射燈-圓形-12W15°
(停產)</v>
          </cell>
          <cell r="H70" t="str">
            <v>尺寸：92.5 x 86 x 38.9 毫米
顏色: 灰色
電源供應器：AC220V，50Hz
螢幕尺寸：2.41吋（只有一個螢幕）
最大限度。負載：1/2迴路&lt;400W/迴路； 3迴路&lt;200W</v>
          </cell>
          <cell r="I70" t="str">
            <v>需提供零線(N)-白線
採用86底盒安裝(智崴提供)</v>
          </cell>
          <cell r="J70"/>
          <cell r="K70" t="str">
            <v>座</v>
          </cell>
          <cell r="L70">
            <v>79</v>
          </cell>
          <cell r="M70">
            <v>79</v>
          </cell>
          <cell r="N70">
            <v>79</v>
          </cell>
          <cell r="O70">
            <v>85.320000000000007</v>
          </cell>
          <cell r="P70">
            <v>0.23749999999999999</v>
          </cell>
          <cell r="Q70">
            <v>0.23749999999999999</v>
          </cell>
          <cell r="R70">
            <v>26.71875</v>
          </cell>
          <cell r="S70">
            <v>1</v>
          </cell>
        </row>
        <row r="71">
          <cell r="C71" t="str">
            <v>B10W4</v>
          </cell>
          <cell r="D71" t="str">
            <v>MixSwitch 巴赫
四切智慧開關-灰</v>
          </cell>
          <cell r="E71">
            <v>77.000709999999998</v>
          </cell>
          <cell r="F71">
            <v>52</v>
          </cell>
          <cell r="G71" t="str">
            <v>SOPRO 投射燈-圓形-12W24°
(停產)</v>
          </cell>
          <cell r="H71" t="str">
            <v>尺寸：86 x 86 x 38.3 毫米
前面板：塑膠面板，需更換為金屬面板
電源供應器：AC100-240V，50/60Hz
最大限度。負載：800W/路（四路合計小於1200W）</v>
          </cell>
          <cell r="I71" t="str">
            <v>需提供零線(N)-白線
採用86底盒安裝(智崴提供)</v>
          </cell>
          <cell r="J71"/>
          <cell r="K71" t="str">
            <v>顆</v>
          </cell>
          <cell r="L71">
            <v>52</v>
          </cell>
          <cell r="M71">
            <v>52</v>
          </cell>
          <cell r="N71">
            <v>52</v>
          </cell>
          <cell r="O71">
            <v>56.160000000000004</v>
          </cell>
          <cell r="P71">
            <v>0.21</v>
          </cell>
          <cell r="Q71">
            <v>0.21</v>
          </cell>
          <cell r="R71">
            <v>23.625</v>
          </cell>
          <cell r="S71">
            <v>1</v>
          </cell>
        </row>
        <row r="72">
          <cell r="C72" t="str">
            <v>B10W4</v>
          </cell>
          <cell r="D72" t="str">
            <v>MixSwitch 巴赫
四切智慧開關-藍</v>
          </cell>
          <cell r="E72">
            <v>77.000720000000001</v>
          </cell>
          <cell r="F72">
            <v>53</v>
          </cell>
          <cell r="G72" t="str">
            <v>SOPRO 投射燈-圓形-12W36°
(停產)</v>
          </cell>
          <cell r="H72" t="str">
            <v>尺寸：86 x 86 x 38.3 毫米
前面板：塑膠面板，需更換為金屬面板
電源供應器：AC100-240V，50/60Hz
最大限度。負載：800W/路（四路合計小於1200W）</v>
          </cell>
          <cell r="I72" t="str">
            <v>需提供零線(N)-白線
採用86底盒安裝(智崴提供)</v>
          </cell>
          <cell r="J72"/>
          <cell r="K72" t="str">
            <v>顆</v>
          </cell>
          <cell r="L72">
            <v>52</v>
          </cell>
          <cell r="M72">
            <v>52</v>
          </cell>
          <cell r="N72">
            <v>52</v>
          </cell>
          <cell r="O72">
            <v>56.160000000000004</v>
          </cell>
          <cell r="P72">
            <v>0.21</v>
          </cell>
          <cell r="Q72">
            <v>0.21</v>
          </cell>
          <cell r="R72">
            <v>23.625</v>
          </cell>
          <cell r="S72">
            <v>1</v>
          </cell>
        </row>
        <row r="73">
          <cell r="C73" t="str">
            <v>B10W8</v>
          </cell>
          <cell r="D73" t="str">
            <v>MixSwitch 巴赫
八切智慧開關-灰</v>
          </cell>
          <cell r="E73">
            <v>77.000730000000004</v>
          </cell>
          <cell r="F73">
            <v>54</v>
          </cell>
          <cell r="G73" t="str">
            <v>SOPRO智慧壁燈
(停售)</v>
          </cell>
          <cell r="H73" t="str">
            <v>尺寸：86 x 86 x 38.3 毫米
前面板：塑膠面板，需更換為金屬面板
電源供應器：AC100-240V，50/60Hz
最大限度。負載：800W/路（四路合計小於1200W）</v>
          </cell>
          <cell r="I73" t="str">
            <v>需提供零線(N)-白線
採用86底盒安裝(智崴提供)</v>
          </cell>
          <cell r="J73"/>
          <cell r="K73" t="str">
            <v>顆</v>
          </cell>
          <cell r="L73">
            <v>57</v>
          </cell>
          <cell r="M73">
            <v>57</v>
          </cell>
          <cell r="N73">
            <v>57</v>
          </cell>
          <cell r="O73">
            <v>61.56</v>
          </cell>
          <cell r="P73">
            <v>0.22</v>
          </cell>
          <cell r="Q73">
            <v>0.22</v>
          </cell>
          <cell r="R73">
            <v>24.75</v>
          </cell>
          <cell r="S73">
            <v>1</v>
          </cell>
        </row>
        <row r="74">
          <cell r="C74" t="str">
            <v>B10W8</v>
          </cell>
          <cell r="D74" t="str">
            <v>MixSwitch 巴赫
八切智慧開關-藍</v>
          </cell>
          <cell r="E74">
            <v>77.000739999999993</v>
          </cell>
          <cell r="F74">
            <v>55</v>
          </cell>
          <cell r="G74" t="str">
            <v>SOPRO智慧落地燈
(停售)</v>
          </cell>
          <cell r="H74" t="str">
            <v>尺寸：86 x 86 x 38.3 毫米
前面板：塑膠面板，需更換為金屬面板
電源供應器：AC100-240V，50/60Hz
最大限度。負載：800W/路（四路合計小於1200W）</v>
          </cell>
          <cell r="I74" t="str">
            <v>需提供零線(N)-白線
採用86底盒安裝(智崴提供)</v>
          </cell>
          <cell r="J74"/>
          <cell r="K74" t="str">
            <v>顆</v>
          </cell>
          <cell r="L74">
            <v>57</v>
          </cell>
          <cell r="M74">
            <v>57</v>
          </cell>
          <cell r="N74">
            <v>57</v>
          </cell>
          <cell r="O74">
            <v>61.56</v>
          </cell>
          <cell r="P74">
            <v>0.22</v>
          </cell>
          <cell r="Q74">
            <v>0.22</v>
          </cell>
          <cell r="R74">
            <v>24.75</v>
          </cell>
          <cell r="S74">
            <v>1</v>
          </cell>
        </row>
        <row r="75">
          <cell r="C75" t="str">
            <v>AH01</v>
          </cell>
          <cell r="D75" t="str">
            <v>歐規金屬入牆底盒</v>
          </cell>
          <cell r="E75">
            <v>48346.000749999999</v>
          </cell>
          <cell r="F75">
            <v>261</v>
          </cell>
          <cell r="G75" t="str">
            <v>SOPRO智慧吊燈
(停售)</v>
          </cell>
          <cell r="H75" t="str">
            <v>尺寸：89.6 x 86 毫米</v>
          </cell>
          <cell r="I75"/>
          <cell r="J75"/>
          <cell r="K75" t="str">
            <v>個</v>
          </cell>
          <cell r="L75">
            <v>2</v>
          </cell>
          <cell r="M75">
            <v>2</v>
          </cell>
          <cell r="N75">
            <v>2</v>
          </cell>
          <cell r="O75">
            <v>0.6</v>
          </cell>
          <cell r="P75"/>
          <cell r="Q75">
            <v>0.3</v>
          </cell>
          <cell r="R75">
            <v>33.75</v>
          </cell>
          <cell r="S75">
            <v>0.6</v>
          </cell>
        </row>
        <row r="76">
          <cell r="C76" t="str">
            <v>CC10ZW</v>
          </cell>
          <cell r="D76" t="str">
            <v>RGB控制器</v>
          </cell>
          <cell r="E76">
            <v>82.00076</v>
          </cell>
          <cell r="F76">
            <v>65</v>
          </cell>
          <cell r="G76" t="str">
            <v>SOPRO 投射燈-方形-7W15°</v>
          </cell>
          <cell r="H76" t="str">
            <v>尺寸：70*70*23mm
電氣參數：DC12V/DC24V
工作溫度：-20～60℃
最大限度。負載：10A</v>
          </cell>
          <cell r="I76"/>
          <cell r="J76"/>
          <cell r="K76" t="str">
            <v>顆</v>
          </cell>
          <cell r="L76">
            <v>25</v>
          </cell>
          <cell r="M76">
            <v>25</v>
          </cell>
          <cell r="N76">
            <v>25</v>
          </cell>
          <cell r="O76">
            <v>27</v>
          </cell>
          <cell r="P76">
            <v>0.12</v>
          </cell>
          <cell r="Q76">
            <v>0.12</v>
          </cell>
          <cell r="R76">
            <v>13.5</v>
          </cell>
          <cell r="S76">
            <v>1</v>
          </cell>
        </row>
        <row r="77">
          <cell r="C77" t="str">
            <v>DM10ZW</v>
          </cell>
          <cell r="D77" t="str">
            <v>0-10V調光模組</v>
          </cell>
          <cell r="E77">
            <v>48.000770000000003</v>
          </cell>
          <cell r="F77">
            <v>1</v>
          </cell>
          <cell r="G77" t="str">
            <v>SOPRO 投射燈-方形-7W24°</v>
          </cell>
          <cell r="H77" t="str">
            <v>尺寸：168*39.5*30mm
電源供應器：AC100-240V，50/60Hz
調光：0-10V恆定電流調光</v>
          </cell>
          <cell r="I77" t="str">
            <v>需配置訊號線</v>
          </cell>
          <cell r="J77"/>
          <cell r="K77" t="str">
            <v>顆</v>
          </cell>
          <cell r="L77">
            <v>29</v>
          </cell>
          <cell r="M77">
            <v>29</v>
          </cell>
          <cell r="N77">
            <v>29</v>
          </cell>
          <cell r="O77">
            <v>31.32</v>
          </cell>
          <cell r="P77">
            <v>0.126</v>
          </cell>
          <cell r="Q77">
            <v>0.126</v>
          </cell>
          <cell r="R77">
            <v>14.174999999999999</v>
          </cell>
          <cell r="S77">
            <v>2</v>
          </cell>
        </row>
        <row r="78">
          <cell r="C78" t="str">
            <v>R21W2Z</v>
          </cell>
          <cell r="D78" t="str">
            <v>入牆式開關模組
ZigBee(單火)</v>
          </cell>
          <cell r="E78">
            <v>42058.000780000002</v>
          </cell>
          <cell r="F78">
            <v>132</v>
          </cell>
          <cell r="G78" t="str">
            <v>SOPRO 投射燈-方形-7W36°</v>
          </cell>
          <cell r="H78" t="str">
            <v>尺寸：50.5*46*18mm
電氣參數：AC 110V-240V 50Hz/60Hz
無線協定：Zigbee HA
工作溫度：-20～60℃
最大限度。負載：白熾燈/鹵素燈：200W
LED/螢光燈：100W
2路開關連接</v>
          </cell>
          <cell r="I78"/>
          <cell r="J78"/>
          <cell r="K78" t="str">
            <v>顆</v>
          </cell>
          <cell r="L78">
            <v>17</v>
          </cell>
          <cell r="M78">
            <v>17</v>
          </cell>
          <cell r="N78">
            <v>17</v>
          </cell>
          <cell r="O78">
            <v>18.36</v>
          </cell>
          <cell r="P78">
            <v>0.09</v>
          </cell>
          <cell r="Q78">
            <v>0.09</v>
          </cell>
          <cell r="R78">
            <v>10.125</v>
          </cell>
          <cell r="S78">
            <v>1</v>
          </cell>
        </row>
        <row r="79">
          <cell r="C79" t="str">
            <v>R40W2Z</v>
          </cell>
          <cell r="D79" t="str">
            <v>入牆式開關模組
WiFi</v>
          </cell>
          <cell r="E79">
            <v>42058.000789999998</v>
          </cell>
          <cell r="F79">
            <v>133</v>
          </cell>
          <cell r="G79" t="str">
            <v>SOPRO 投射燈-方形-12W15°</v>
          </cell>
          <cell r="H79" t="str">
            <v>尺寸：50*46*18mm 2 件
電氣參數：AC 110V-240V 50Hz/60Hz
無線協定：2.4G Wi-Fi
工作溫度：0～50℃
最大限度。負載：白熾燈/鹵素燈：300W
LED/螢光燈：150W</v>
          </cell>
          <cell r="I79" t="str">
            <v>需提供零線(N)-白線</v>
          </cell>
          <cell r="J79"/>
          <cell r="K79" t="str">
            <v>顆</v>
          </cell>
          <cell r="L79">
            <v>28</v>
          </cell>
          <cell r="M79">
            <v>28</v>
          </cell>
          <cell r="N79">
            <v>28</v>
          </cell>
          <cell r="O79">
            <v>30.240000000000002</v>
          </cell>
          <cell r="P79">
            <v>0.18</v>
          </cell>
          <cell r="Q79">
            <v>0.18</v>
          </cell>
          <cell r="R79">
            <v>20.25</v>
          </cell>
          <cell r="S79">
            <v>2</v>
          </cell>
        </row>
        <row r="80">
          <cell r="C80" t="str">
            <v>R30W3Z</v>
          </cell>
          <cell r="D80" t="str">
            <v>入牆式開關模組
ZigBee (中性線)</v>
          </cell>
          <cell r="E80">
            <v>42058.000800000002</v>
          </cell>
          <cell r="F80">
            <v>134</v>
          </cell>
          <cell r="G80" t="str">
            <v>SOPRO 投射燈-方形-12W24°</v>
          </cell>
          <cell r="H80" t="str">
            <v>尺寸：64*48*23mm 
電氣參數：AC 110-240V 50Hz
無線協定：Zigbee HA
工作溫度：-20～60℃
最大限度。負載：400W/迴路
3路開關，1個場景按鈕連接</v>
          </cell>
          <cell r="I80" t="str">
            <v>需提供零線(N)-白線</v>
          </cell>
          <cell r="J80"/>
          <cell r="K80" t="str">
            <v>顆</v>
          </cell>
          <cell r="L80">
            <v>22</v>
          </cell>
          <cell r="M80">
            <v>22</v>
          </cell>
          <cell r="N80">
            <v>22</v>
          </cell>
          <cell r="O80">
            <v>23.76</v>
          </cell>
          <cell r="P80">
            <v>0.1</v>
          </cell>
          <cell r="Q80">
            <v>0.1</v>
          </cell>
          <cell r="R80">
            <v>11.25</v>
          </cell>
          <cell r="S80">
            <v>1</v>
          </cell>
        </row>
        <row r="81">
          <cell r="C81" t="str">
            <v>Mi-09L</v>
          </cell>
          <cell r="D81" t="str">
            <v>語音助理
(WiFi)</v>
          </cell>
          <cell r="E81">
            <v>47993.000809999998</v>
          </cell>
          <cell r="F81">
            <v>260</v>
          </cell>
          <cell r="G81"/>
          <cell r="H81"/>
          <cell r="I81"/>
          <cell r="J81"/>
          <cell r="K81" t="str">
            <v>台</v>
          </cell>
          <cell r="L81">
            <v>38.787878787878789</v>
          </cell>
          <cell r="M81"/>
          <cell r="N81">
            <v>38.787878787878789</v>
          </cell>
          <cell r="O81">
            <v>38.787878787878789</v>
          </cell>
          <cell r="P81"/>
          <cell r="Q81">
            <v>1</v>
          </cell>
          <cell r="R81">
            <v>112.5</v>
          </cell>
          <cell r="S81">
            <v>2</v>
          </cell>
        </row>
        <row r="82">
          <cell r="C82" t="str">
            <v>SD-64</v>
          </cell>
          <cell r="D82" t="str">
            <v>64 G 記憶卡</v>
          </cell>
          <cell r="E82">
            <v>54.000819999999997</v>
          </cell>
          <cell r="F82">
            <v>10</v>
          </cell>
          <cell r="G82" t="str">
            <v>SOPRO 投射燈-圓形-7W15°(無框)</v>
          </cell>
          <cell r="H82"/>
          <cell r="I82"/>
          <cell r="J82"/>
          <cell r="K82" t="str">
            <v>片</v>
          </cell>
          <cell r="L82">
            <v>11</v>
          </cell>
          <cell r="M82"/>
          <cell r="N82">
            <v>11</v>
          </cell>
          <cell r="O82">
            <v>11.88</v>
          </cell>
          <cell r="P82"/>
          <cell r="Q82">
            <v>0</v>
          </cell>
          <cell r="R82">
            <v>0</v>
          </cell>
          <cell r="S82">
            <v>1</v>
          </cell>
        </row>
        <row r="83">
          <cell r="C83" t="str">
            <v>SD-128</v>
          </cell>
          <cell r="D83" t="str">
            <v>128 G 記憶卡</v>
          </cell>
          <cell r="E83">
            <v>49.000830000000001</v>
          </cell>
          <cell r="F83">
            <v>7</v>
          </cell>
          <cell r="G83" t="str">
            <v>SOPRO 投射燈-圓形-7W24°(無框)</v>
          </cell>
          <cell r="H83"/>
          <cell r="I83"/>
          <cell r="J83"/>
          <cell r="K83" t="str">
            <v>片</v>
          </cell>
          <cell r="L83">
            <v>17</v>
          </cell>
          <cell r="M83"/>
          <cell r="N83">
            <v>17</v>
          </cell>
          <cell r="O83">
            <v>18.36</v>
          </cell>
          <cell r="P83"/>
          <cell r="Q83">
            <v>0</v>
          </cell>
          <cell r="R83">
            <v>0</v>
          </cell>
          <cell r="S83">
            <v>1</v>
          </cell>
        </row>
        <row r="84">
          <cell r="C84" t="str">
            <v>SSR-10</v>
          </cell>
          <cell r="D84" t="str">
            <v>固態式繼電器 10A</v>
          </cell>
          <cell r="E84">
            <v>43348.000840000001</v>
          </cell>
          <cell r="F84">
            <v>154</v>
          </cell>
          <cell r="G84" t="str">
            <v>SOPRO 投射燈-圓形-7W36°(無框)</v>
          </cell>
          <cell r="H84"/>
          <cell r="I84"/>
          <cell r="J84"/>
          <cell r="K84" t="str">
            <v>顆</v>
          </cell>
          <cell r="L84">
            <v>11</v>
          </cell>
          <cell r="M84"/>
          <cell r="N84">
            <v>11</v>
          </cell>
          <cell r="O84">
            <v>11</v>
          </cell>
          <cell r="P84"/>
          <cell r="Q84">
            <v>0</v>
          </cell>
          <cell r="R84">
            <v>0</v>
          </cell>
          <cell r="S84">
            <v>2</v>
          </cell>
        </row>
        <row r="85">
          <cell r="C85" t="str">
            <v>SSR-40</v>
          </cell>
          <cell r="D85" t="str">
            <v>固態式繼電器 40A</v>
          </cell>
          <cell r="E85">
            <v>43348.000849999997</v>
          </cell>
          <cell r="F85">
            <v>155</v>
          </cell>
          <cell r="G85" t="str">
            <v>SOPRO 投射燈-圓形-12W15°(無框)</v>
          </cell>
          <cell r="H85"/>
          <cell r="I85"/>
          <cell r="J85"/>
          <cell r="K85" t="str">
            <v>顆</v>
          </cell>
          <cell r="L85">
            <v>11</v>
          </cell>
          <cell r="M85"/>
          <cell r="N85">
            <v>11</v>
          </cell>
          <cell r="O85">
            <v>11</v>
          </cell>
          <cell r="P85"/>
          <cell r="Q85">
            <v>0</v>
          </cell>
          <cell r="R85">
            <v>0</v>
          </cell>
          <cell r="S85">
            <v>2</v>
          </cell>
        </row>
        <row r="86">
          <cell r="C86" t="str">
            <v>MY-05</v>
          </cell>
          <cell r="D86" t="str">
            <v>繼電器-5A</v>
          </cell>
          <cell r="E86">
            <v>50302.00086</v>
          </cell>
          <cell r="F86">
            <v>265</v>
          </cell>
          <cell r="G86" t="str">
            <v>SOPRO 投射燈-圓形-12W24°(無框)</v>
          </cell>
          <cell r="H86"/>
          <cell r="I86"/>
          <cell r="J86"/>
          <cell r="K86" t="str">
            <v>顆</v>
          </cell>
          <cell r="L86">
            <v>9</v>
          </cell>
          <cell r="M86"/>
          <cell r="N86">
            <v>9</v>
          </cell>
          <cell r="O86">
            <v>9</v>
          </cell>
          <cell r="P86"/>
          <cell r="Q86">
            <v>0</v>
          </cell>
          <cell r="R86">
            <v>0</v>
          </cell>
          <cell r="S86">
            <v>2</v>
          </cell>
        </row>
        <row r="87">
          <cell r="C87" t="str">
            <v>MY-10</v>
          </cell>
          <cell r="D87" t="str">
            <v>繼電器-10A</v>
          </cell>
          <cell r="E87">
            <v>50302.000870000003</v>
          </cell>
          <cell r="F87">
            <v>266</v>
          </cell>
          <cell r="G87" t="str">
            <v>SOPRO 投射燈-圓形-12W36°(無框)</v>
          </cell>
          <cell r="H87"/>
          <cell r="I87"/>
          <cell r="J87"/>
          <cell r="K87" t="str">
            <v>顆</v>
          </cell>
          <cell r="L87">
            <v>9</v>
          </cell>
          <cell r="M87"/>
          <cell r="N87">
            <v>9</v>
          </cell>
          <cell r="O87">
            <v>9</v>
          </cell>
          <cell r="P87"/>
          <cell r="Q87">
            <v>0</v>
          </cell>
          <cell r="R87">
            <v>0</v>
          </cell>
          <cell r="S87">
            <v>2</v>
          </cell>
        </row>
        <row r="88">
          <cell r="C88" t="str">
            <v>TL-D-60</v>
          </cell>
          <cell r="D88" t="str">
            <v>Wifi 分享器 TP-link Mesh</v>
          </cell>
          <cell r="E88">
            <v>87.000879999999995</v>
          </cell>
          <cell r="F88">
            <v>102</v>
          </cell>
          <cell r="G88" t="str">
            <v>SOPRO 投射燈-方形-7W15°(無框)</v>
          </cell>
          <cell r="H88"/>
          <cell r="I88"/>
          <cell r="J88"/>
          <cell r="K88" t="str">
            <v>台</v>
          </cell>
          <cell r="L88"/>
          <cell r="M88"/>
          <cell r="N88">
            <v>0</v>
          </cell>
          <cell r="O88"/>
          <cell r="P88"/>
          <cell r="Q88">
            <v>0</v>
          </cell>
          <cell r="R88">
            <v>0</v>
          </cell>
          <cell r="S88"/>
        </row>
        <row r="89">
          <cell r="C89" t="str">
            <v>TL-D-90</v>
          </cell>
          <cell r="D89" t="str">
            <v>Wifi 分享器 TP-link Wifi6 Mesh</v>
          </cell>
          <cell r="E89">
            <v>87.000889999999998</v>
          </cell>
          <cell r="F89">
            <v>103</v>
          </cell>
          <cell r="G89" t="str">
            <v>SOPRO 投射燈-方形-7W24°(無框)</v>
          </cell>
          <cell r="H89"/>
          <cell r="I89"/>
          <cell r="J89"/>
          <cell r="K89" t="str">
            <v>台</v>
          </cell>
          <cell r="L89">
            <v>270</v>
          </cell>
          <cell r="M89"/>
          <cell r="N89">
            <v>270</v>
          </cell>
          <cell r="O89">
            <v>291.60000000000002</v>
          </cell>
          <cell r="P89"/>
          <cell r="Q89">
            <v>0</v>
          </cell>
          <cell r="R89">
            <v>0</v>
          </cell>
          <cell r="S89">
            <v>4</v>
          </cell>
        </row>
        <row r="90">
          <cell r="C90" t="str">
            <v>TL-S-8P</v>
          </cell>
          <cell r="D90" t="str">
            <v>Wifi 網路交換機 8埠</v>
          </cell>
          <cell r="E90">
            <v>87.000900000000001</v>
          </cell>
          <cell r="F90">
            <v>104</v>
          </cell>
          <cell r="G90" t="str">
            <v>SOPRO 投射燈-方形-7W36°(無框)</v>
          </cell>
          <cell r="H90"/>
          <cell r="I90"/>
          <cell r="J90"/>
          <cell r="K90" t="str">
            <v>台</v>
          </cell>
          <cell r="L90">
            <v>32</v>
          </cell>
          <cell r="M90"/>
          <cell r="N90">
            <v>32</v>
          </cell>
          <cell r="O90">
            <v>34.56</v>
          </cell>
          <cell r="P90"/>
          <cell r="Q90">
            <v>0</v>
          </cell>
          <cell r="R90">
            <v>0</v>
          </cell>
          <cell r="S90">
            <v>4</v>
          </cell>
        </row>
        <row r="91">
          <cell r="C91" t="str">
            <v>TL-S-16P</v>
          </cell>
          <cell r="D91" t="str">
            <v>Wifi 網路交換機 16埠</v>
          </cell>
          <cell r="E91">
            <v>87.000910000000005</v>
          </cell>
          <cell r="F91">
            <v>105</v>
          </cell>
          <cell r="G91" t="str">
            <v>SOPRO 投射燈-方形-12W15°(無框)</v>
          </cell>
          <cell r="H91"/>
          <cell r="I91"/>
          <cell r="J91"/>
          <cell r="K91" t="str">
            <v>台</v>
          </cell>
          <cell r="L91">
            <v>79</v>
          </cell>
          <cell r="M91"/>
          <cell r="N91">
            <v>79</v>
          </cell>
          <cell r="O91">
            <v>85.320000000000007</v>
          </cell>
          <cell r="P91"/>
          <cell r="Q91">
            <v>0</v>
          </cell>
          <cell r="R91">
            <v>0</v>
          </cell>
          <cell r="S91">
            <v>4</v>
          </cell>
        </row>
        <row r="92">
          <cell r="C92" t="str">
            <v>OR-6000-2</v>
          </cell>
          <cell r="D92" t="str">
            <v>Wifi 分享器 Orbi Wifi6 Mesh (兩顆)</v>
          </cell>
          <cell r="E92">
            <v>87.000919999999994</v>
          </cell>
          <cell r="F92">
            <v>106</v>
          </cell>
          <cell r="G92" t="str">
            <v>SOPRO 投射燈-方形-12W24°(無框)</v>
          </cell>
          <cell r="H92"/>
          <cell r="I92"/>
          <cell r="J92"/>
          <cell r="K92" t="str">
            <v>組</v>
          </cell>
          <cell r="L92">
            <v>830</v>
          </cell>
          <cell r="M92"/>
          <cell r="N92">
            <v>830</v>
          </cell>
          <cell r="O92">
            <v>896.40000000000009</v>
          </cell>
          <cell r="P92"/>
          <cell r="Q92">
            <v>0</v>
          </cell>
          <cell r="R92">
            <v>0</v>
          </cell>
          <cell r="S92">
            <v>4</v>
          </cell>
        </row>
        <row r="93">
          <cell r="C93" t="str">
            <v>OR-6000-3</v>
          </cell>
          <cell r="D93" t="str">
            <v>Wifi 分享器 Orbi Wifi6 Mesh (三顆)</v>
          </cell>
          <cell r="E93">
            <v>87.000929999999997</v>
          </cell>
          <cell r="F93">
            <v>107</v>
          </cell>
          <cell r="G93" t="str">
            <v>SOPRO 投射燈-方形-12W36°(無框)</v>
          </cell>
          <cell r="H93"/>
          <cell r="I93"/>
          <cell r="J93"/>
          <cell r="K93" t="str">
            <v>組</v>
          </cell>
          <cell r="L93">
            <v>1035</v>
          </cell>
          <cell r="M93"/>
          <cell r="N93">
            <v>1035</v>
          </cell>
          <cell r="O93">
            <v>1117.8000000000002</v>
          </cell>
          <cell r="P93"/>
          <cell r="Q93">
            <v>0</v>
          </cell>
          <cell r="R93">
            <v>0</v>
          </cell>
          <cell r="S93">
            <v>4</v>
          </cell>
        </row>
        <row r="94">
          <cell r="C94"/>
          <cell r="D94" t="str">
            <v>C1 鑰匙頭</v>
          </cell>
          <cell r="E94">
            <v>67.00094</v>
          </cell>
          <cell r="F94">
            <v>14</v>
          </cell>
          <cell r="G94" t="str">
            <v>S0智能射灯</v>
          </cell>
          <cell r="H94"/>
          <cell r="I94"/>
          <cell r="J94"/>
          <cell r="K94" t="str">
            <v>顆</v>
          </cell>
          <cell r="L94">
            <v>12.5</v>
          </cell>
          <cell r="M94"/>
          <cell r="N94">
            <v>12.5</v>
          </cell>
          <cell r="O94">
            <v>13.5</v>
          </cell>
          <cell r="P94"/>
          <cell r="Q94">
            <v>0</v>
          </cell>
          <cell r="R94">
            <v>0</v>
          </cell>
          <cell r="S94">
            <v>1</v>
          </cell>
        </row>
        <row r="95">
          <cell r="C95"/>
          <cell r="D95" t="str">
            <v>C1 指紋模組</v>
          </cell>
          <cell r="E95">
            <v>67.000950000000003</v>
          </cell>
          <cell r="F95">
            <v>15</v>
          </cell>
          <cell r="G95" t="str">
            <v>S0智能筒灯</v>
          </cell>
          <cell r="H95"/>
          <cell r="I95"/>
          <cell r="J95"/>
          <cell r="K95" t="str">
            <v>塊</v>
          </cell>
          <cell r="L95">
            <v>18.38</v>
          </cell>
          <cell r="M95"/>
          <cell r="N95">
            <v>18.38</v>
          </cell>
          <cell r="O95">
            <v>19.8504</v>
          </cell>
          <cell r="P95"/>
          <cell r="Q95">
            <v>0</v>
          </cell>
          <cell r="R95">
            <v>0</v>
          </cell>
          <cell r="S95">
            <v>1</v>
          </cell>
        </row>
        <row r="96">
          <cell r="C96" t="str">
            <v>DD20Z-05</v>
          </cell>
          <cell r="D96" t="str">
            <v>崁燈-80
(ZigBee)
(停產)</v>
          </cell>
          <cell r="E96">
            <v>44658.000959999998</v>
          </cell>
          <cell r="F96">
            <v>175</v>
          </cell>
          <cell r="G96" t="str">
            <v>T1展示架
(停產)</v>
          </cell>
          <cell r="H96" t="str">
            <v>尺寸：90*61mm
開孔尺寸：75mm
電源供應器：AC100V-240V，50/60Hz
額定功率：5W
光通量：400流明
色溫範圍：2700K-6500K</v>
          </cell>
          <cell r="I96" t="str">
            <v>開孔尺寸75mm</v>
          </cell>
          <cell r="J96"/>
          <cell r="K96" t="str">
            <v>顆</v>
          </cell>
          <cell r="L96">
            <v>8.73</v>
          </cell>
          <cell r="M96">
            <v>8.73</v>
          </cell>
          <cell r="N96">
            <v>8.73</v>
          </cell>
          <cell r="O96">
            <v>9.4284000000000017</v>
          </cell>
          <cell r="P96">
            <v>0.2</v>
          </cell>
          <cell r="Q96">
            <v>0.2</v>
          </cell>
          <cell r="R96">
            <v>22.5</v>
          </cell>
          <cell r="S96">
            <v>1</v>
          </cell>
        </row>
        <row r="97">
          <cell r="C97" t="str">
            <v>DS20Z-06</v>
          </cell>
          <cell r="D97" t="str">
            <v>投射燈-80
(ZigBee)
(停產)</v>
          </cell>
          <cell r="E97">
            <v>42987.000970000001</v>
          </cell>
          <cell r="F97">
            <v>142</v>
          </cell>
          <cell r="G97" t="str">
            <v>T1 門鎖主機板
(停產)</v>
          </cell>
          <cell r="H97" t="str">
            <v>尺寸：85*61mm
開孔尺寸：75mm
電源供應器：AC100V-240V，50/60Hz
額定功率：6W
光通量：500 lm
色溫範圍：2700K-6500K</v>
          </cell>
          <cell r="I97" t="str">
            <v>開孔尺寸75mm</v>
          </cell>
          <cell r="J97"/>
          <cell r="K97" t="str">
            <v>顆</v>
          </cell>
          <cell r="L97">
            <v>10.32</v>
          </cell>
          <cell r="M97">
            <v>10.32</v>
          </cell>
          <cell r="N97">
            <v>10.32</v>
          </cell>
          <cell r="O97">
            <v>11.145600000000002</v>
          </cell>
          <cell r="P97">
            <v>0.18</v>
          </cell>
          <cell r="Q97">
            <v>0.18</v>
          </cell>
          <cell r="R97">
            <v>20.25</v>
          </cell>
          <cell r="S97">
            <v>1</v>
          </cell>
        </row>
        <row r="98">
          <cell r="C98" t="str">
            <v>DSZ06286</v>
          </cell>
          <cell r="D98" t="str">
            <v>智能投射燈 S0（6W）
需配置Mixpad 使用</v>
          </cell>
          <cell r="E98"/>
          <cell r="F98"/>
          <cell r="G98"/>
          <cell r="H98" t="str">
            <v>尺寸：88*80mm
開孔尺寸：75mm
電源供應器：AC100V-240V，50/60Hz
額定功率：6W
光通量：400 lm
色溫範圍：2700K-6500K</v>
          </cell>
          <cell r="I98" t="str">
            <v>開孔尺寸75mm</v>
          </cell>
          <cell r="J98"/>
          <cell r="K98" t="str">
            <v>顆</v>
          </cell>
          <cell r="L98">
            <v>14</v>
          </cell>
          <cell r="M98">
            <v>15</v>
          </cell>
          <cell r="N98">
            <v>15</v>
          </cell>
          <cell r="O98">
            <v>15.120000000000001</v>
          </cell>
          <cell r="P98">
            <v>0.2</v>
          </cell>
          <cell r="Q98">
            <v>2.1800000000000002</v>
          </cell>
          <cell r="R98">
            <v>245.25000000000003</v>
          </cell>
          <cell r="S98">
            <v>3</v>
          </cell>
        </row>
        <row r="99">
          <cell r="C99" t="str">
            <v>DTZ05285</v>
          </cell>
          <cell r="D99" t="str">
            <v>智能筒燈 S0（6W）
需配置Mixpad 使用</v>
          </cell>
          <cell r="E99"/>
          <cell r="F99"/>
          <cell r="G99"/>
          <cell r="H99" t="str">
            <v>尺寸：88*70mm
開孔尺寸：75mm
電源供應器：AC100V-240V，50/60Hz
額定功率：6W
光通量：400 lm
色溫範圍：2700K-6500K</v>
          </cell>
          <cell r="I99" t="str">
            <v>開孔尺寸75mm</v>
          </cell>
          <cell r="J99"/>
          <cell r="K99" t="str">
            <v>顆</v>
          </cell>
          <cell r="L99">
            <v>15</v>
          </cell>
          <cell r="M99">
            <v>14</v>
          </cell>
          <cell r="N99">
            <v>14</v>
          </cell>
          <cell r="O99">
            <v>16.200000000000003</v>
          </cell>
          <cell r="P99">
            <v>0.19</v>
          </cell>
          <cell r="Q99">
            <v>1.18</v>
          </cell>
          <cell r="R99">
            <v>132.75</v>
          </cell>
          <cell r="S99">
            <v>2</v>
          </cell>
        </row>
        <row r="100">
          <cell r="C100" t="str">
            <v>DTZ07155</v>
          </cell>
          <cell r="D100" t="str">
            <v>超薄智能筒燈 S3（7W）
需配置Mixpad 使用</v>
          </cell>
          <cell r="E100">
            <v>46679.000999999997</v>
          </cell>
          <cell r="F100">
            <v>227</v>
          </cell>
          <cell r="G100" t="str">
            <v>T1 鑰匙頭
(停產)</v>
          </cell>
          <cell r="H100" t="str">
            <v>電源：AC100-240V，50/60Hz
尺寸：直徑85mm x 高44mm
開孔尺寸：直徑75mm
顯色指數：Ra&gt;90
防眩光指數：UGR&lt;22
光束角：90°
光通量：450lm
功率：7W
色溫範圍：2700K~6000K</v>
          </cell>
          <cell r="I100" t="str">
            <v>開孔尺寸75mm</v>
          </cell>
          <cell r="J100"/>
          <cell r="K100" t="str">
            <v>顆</v>
          </cell>
          <cell r="L100">
            <v>21.33</v>
          </cell>
          <cell r="M100">
            <v>21.33</v>
          </cell>
          <cell r="N100">
            <v>21.33</v>
          </cell>
          <cell r="O100">
            <v>23.0364</v>
          </cell>
          <cell r="P100">
            <v>0.3</v>
          </cell>
          <cell r="Q100">
            <v>0.3</v>
          </cell>
          <cell r="R100">
            <v>33.75</v>
          </cell>
          <cell r="S100">
            <v>1</v>
          </cell>
        </row>
        <row r="101">
          <cell r="C101" t="str">
            <v>DSZ07156</v>
          </cell>
          <cell r="D101" t="str">
            <v>超薄智能射燈 S3（7W 24°）
需配置Mixpad 使用</v>
          </cell>
          <cell r="E101">
            <v>46679.00101</v>
          </cell>
          <cell r="F101">
            <v>228</v>
          </cell>
          <cell r="G101" t="str">
            <v>V5展示架</v>
          </cell>
          <cell r="H101" t="str">
            <v>電源：AC100-240V，50/60Hz
尺寸：直徑85mm x 高44mm
開孔尺寸：直徑75mm
顯色指數：Ra&gt;90
防眩光指數：UGR&lt;12
光束角：24°
光通量：490lm
功率：7W
色溫範圍：2700K~6000K</v>
          </cell>
          <cell r="I101" t="str">
            <v>開孔尺寸75mm</v>
          </cell>
          <cell r="J101"/>
          <cell r="K101" t="str">
            <v>顆</v>
          </cell>
          <cell r="L101">
            <v>23</v>
          </cell>
          <cell r="M101">
            <v>23</v>
          </cell>
          <cell r="N101">
            <v>23</v>
          </cell>
          <cell r="O101">
            <v>24.840000000000003</v>
          </cell>
          <cell r="P101">
            <v>0.31</v>
          </cell>
          <cell r="Q101">
            <v>0.31</v>
          </cell>
          <cell r="R101">
            <v>34.875</v>
          </cell>
          <cell r="S101">
            <v>1</v>
          </cell>
        </row>
        <row r="102">
          <cell r="C102" t="str">
            <v>DSZ07157</v>
          </cell>
          <cell r="D102" t="str">
            <v>超薄智能射燈 S3（7W 36°）
需配置Mixpad 使用</v>
          </cell>
          <cell r="E102">
            <v>46679.001020000003</v>
          </cell>
          <cell r="F102">
            <v>229</v>
          </cell>
          <cell r="G102" t="str">
            <v>Wifi 分享器 TP-link Mesh</v>
          </cell>
          <cell r="H102" t="str">
            <v>電源：AC100-240V，50/60Hz
尺寸：直徑85mm x 高44mm
開孔尺寸：直徑75mm
顯色指數：Ra&gt;90
防眩光指數：UGR&lt;12
光束角：36°
光通量：490lm
功率：7W
色溫範圍：2700K~6000K</v>
          </cell>
          <cell r="I102" t="str">
            <v>開孔尺寸75mm</v>
          </cell>
          <cell r="J102"/>
          <cell r="K102" t="str">
            <v>顆</v>
          </cell>
          <cell r="L102">
            <v>23</v>
          </cell>
          <cell r="M102">
            <v>23</v>
          </cell>
          <cell r="N102">
            <v>23</v>
          </cell>
          <cell r="O102">
            <v>24.840000000000003</v>
          </cell>
          <cell r="P102">
            <v>0.3</v>
          </cell>
          <cell r="Q102">
            <v>0.3</v>
          </cell>
          <cell r="R102">
            <v>33.75</v>
          </cell>
          <cell r="S102">
            <v>1</v>
          </cell>
        </row>
        <row r="103">
          <cell r="C103" t="str">
            <v>DSZ07158</v>
          </cell>
          <cell r="D103" t="str">
            <v>防眩智能射燈 S3（7W 24°）
需配置Mixpad 使用</v>
          </cell>
          <cell r="E103">
            <v>43198.001029999999</v>
          </cell>
          <cell r="F103">
            <v>147</v>
          </cell>
          <cell r="G103" t="str">
            <v>Wifi 分享器 TP-link Wifi6 Mesh</v>
          </cell>
          <cell r="H103" t="str">
            <v>電源：AC100-240V，50/60Hz
尺寸：直徑85mm x 高69mm
開孔尺寸：直徑75mm
顯色指數：Ra&gt;90
防眩光指數：UGR&lt;9
光束角：24°
光通量：490lm
功率：7W
色溫範圍：2700K~6000K</v>
          </cell>
          <cell r="I103" t="str">
            <v>開孔尺寸75mm</v>
          </cell>
          <cell r="J103"/>
          <cell r="K103" t="str">
            <v>顆</v>
          </cell>
          <cell r="L103">
            <v>25</v>
          </cell>
          <cell r="M103">
            <v>25</v>
          </cell>
          <cell r="N103">
            <v>25</v>
          </cell>
          <cell r="O103">
            <v>27</v>
          </cell>
          <cell r="P103">
            <v>0.37</v>
          </cell>
          <cell r="Q103">
            <v>0.37</v>
          </cell>
          <cell r="R103">
            <v>41.625</v>
          </cell>
          <cell r="S103">
            <v>1</v>
          </cell>
        </row>
        <row r="104">
          <cell r="C104" t="str">
            <v>DSZ07159</v>
          </cell>
          <cell r="D104" t="str">
            <v>防眩智能射燈 S3（7W 36°）
需配置Mixpad 使用</v>
          </cell>
          <cell r="E104">
            <v>43198.001040000003</v>
          </cell>
          <cell r="F104">
            <v>148</v>
          </cell>
          <cell r="G104" t="str">
            <v>Wifi 網路交換機 8埠</v>
          </cell>
          <cell r="H104" t="str">
            <v>電源：AC100-240V，50/60Hz
尺寸：直徑85mm x 高69mm
開孔尺寸：直徑75mm
顯色指數：Ra&gt;90
防眩光指數：UGR&lt;9
光束角：36°
光通量：490lm
功率：7W
色溫範圍：2700K~6000K</v>
          </cell>
          <cell r="I104" t="str">
            <v>開孔尺寸75mm</v>
          </cell>
          <cell r="J104"/>
          <cell r="K104" t="str">
            <v>顆</v>
          </cell>
          <cell r="L104">
            <v>25</v>
          </cell>
          <cell r="M104">
            <v>25</v>
          </cell>
          <cell r="N104">
            <v>25</v>
          </cell>
          <cell r="O104">
            <v>27</v>
          </cell>
          <cell r="P104">
            <v>0.38</v>
          </cell>
          <cell r="Q104">
            <v>0.38</v>
          </cell>
          <cell r="R104">
            <v>42.75</v>
          </cell>
          <cell r="S104">
            <v>1</v>
          </cell>
        </row>
        <row r="105">
          <cell r="C105" t="str">
            <v>DSZ07340</v>
          </cell>
          <cell r="D105" t="str">
            <v>防眩智能射燈 S3(7W24°）開孔55mm (錆黑)
需配置Mixpad 使用</v>
          </cell>
          <cell r="E105">
            <v>43198.001049999999</v>
          </cell>
          <cell r="F105">
            <v>149</v>
          </cell>
          <cell r="G105" t="str">
            <v>Wifi 網路交換機 16埠</v>
          </cell>
          <cell r="H105" t="str">
            <v>電源：AC100-240V，50/60Hz
尺寸：直徑61mm x 高54mm
顏色：黑色
開孔尺寸：直徑55mm
顯色指數：Ra&gt;90
防眩光指數：UGR&lt;10
光束角：24°
光通量：420lm
功率：7W
色溫範圍：2700K~6000K</v>
          </cell>
          <cell r="I105" t="str">
            <v>開孔尺寸55mm</v>
          </cell>
          <cell r="J105"/>
          <cell r="K105" t="str">
            <v>顆</v>
          </cell>
          <cell r="L105">
            <v>22</v>
          </cell>
          <cell r="M105">
            <v>22</v>
          </cell>
          <cell r="N105">
            <v>22</v>
          </cell>
          <cell r="O105">
            <v>23.76</v>
          </cell>
          <cell r="P105">
            <v>0.16</v>
          </cell>
          <cell r="Q105">
            <v>0.16</v>
          </cell>
          <cell r="R105">
            <v>18</v>
          </cell>
          <cell r="S105">
            <v>1</v>
          </cell>
        </row>
        <row r="106">
          <cell r="C106" t="str">
            <v>DSZ07341</v>
          </cell>
          <cell r="D106" t="str">
            <v>防眩智能射燈S3(7W36°）開孔55mm (錆黑)
需配置Mixpad 使用</v>
          </cell>
          <cell r="E106">
            <v>43198.001060000002</v>
          </cell>
          <cell r="F106">
            <v>150</v>
          </cell>
          <cell r="G106" t="str">
            <v>Wifi 分享器 Orbi Wifi6 Mesh (兩顆)</v>
          </cell>
          <cell r="H106" t="str">
            <v>電源：AC100-240V，50/60Hz
尺寸：直徑61mm x 高54mm
顏色：黑色
開孔尺寸：直徑55mm
顯色指數：Ra&gt;90
防眩光指數：UGR&lt;10
光束角：36°
光通量：420lm
功率：7W
色溫範圍：2700K~6000K</v>
          </cell>
          <cell r="I106" t="str">
            <v>開孔尺寸55mm</v>
          </cell>
          <cell r="J106"/>
          <cell r="K106" t="str">
            <v>顆</v>
          </cell>
          <cell r="L106">
            <v>22</v>
          </cell>
          <cell r="M106">
            <v>22</v>
          </cell>
          <cell r="N106">
            <v>22</v>
          </cell>
          <cell r="O106">
            <v>23.76</v>
          </cell>
          <cell r="P106">
            <v>0.16</v>
          </cell>
          <cell r="Q106">
            <v>0.16</v>
          </cell>
          <cell r="R106">
            <v>18</v>
          </cell>
          <cell r="S106">
            <v>1</v>
          </cell>
        </row>
        <row r="107">
          <cell r="C107" t="str">
            <v>DG10DA</v>
          </cell>
          <cell r="D107" t="str">
            <v>Zigbee 磁軌 2m</v>
          </cell>
          <cell r="E107">
            <v>90.001069999999999</v>
          </cell>
          <cell r="F107">
            <v>115</v>
          </cell>
          <cell r="G107" t="str">
            <v>Wifi 分享器 Orbi Wifi6 Mesh (三顆)</v>
          </cell>
          <cell r="H107" t="str">
            <v>A型軌道
尺寸：27*52*2000毫米</v>
          </cell>
          <cell r="I107"/>
          <cell r="J107"/>
          <cell r="K107" t="str">
            <v>組</v>
          </cell>
          <cell r="L107">
            <v>25</v>
          </cell>
          <cell r="M107">
            <v>25</v>
          </cell>
          <cell r="N107">
            <v>25</v>
          </cell>
          <cell r="O107">
            <v>26.5032</v>
          </cell>
          <cell r="P107">
            <v>2.08</v>
          </cell>
          <cell r="Q107">
            <v>2.08</v>
          </cell>
          <cell r="R107">
            <v>234</v>
          </cell>
          <cell r="S107">
            <v>4</v>
          </cell>
        </row>
        <row r="108">
          <cell r="C108" t="str">
            <v>DG10DN</v>
          </cell>
          <cell r="D108" t="str">
            <v>Zigbee LED 軌道連接器 （內L）</v>
          </cell>
          <cell r="E108">
            <v>90.001080000000002</v>
          </cell>
          <cell r="F108">
            <v>116</v>
          </cell>
          <cell r="G108" t="str">
            <v>W10電動馬達軌道
(停產)</v>
          </cell>
          <cell r="H108" t="str">
            <v>內角</v>
          </cell>
          <cell r="I108"/>
          <cell r="J108"/>
          <cell r="K108" t="str">
            <v>個</v>
          </cell>
          <cell r="L108">
            <v>9</v>
          </cell>
          <cell r="M108">
            <v>9</v>
          </cell>
          <cell r="N108">
            <v>9</v>
          </cell>
          <cell r="O108">
            <v>9.9144000000000005</v>
          </cell>
          <cell r="P108">
            <v>0.17</v>
          </cell>
          <cell r="Q108">
            <v>0.17</v>
          </cell>
          <cell r="R108">
            <v>19.125</v>
          </cell>
          <cell r="S108">
            <v>1</v>
          </cell>
        </row>
        <row r="109">
          <cell r="C109" t="str">
            <v>DG10DW</v>
          </cell>
          <cell r="D109" t="str">
            <v>Zigbee LED 軌道連接器 （外L）</v>
          </cell>
          <cell r="E109">
            <v>90.001090000000005</v>
          </cell>
          <cell r="F109">
            <v>117</v>
          </cell>
          <cell r="G109" t="str">
            <v>W10電動馬達伸縮軌道1218
(停產)</v>
          </cell>
          <cell r="H109" t="str">
            <v>外角</v>
          </cell>
          <cell r="I109"/>
          <cell r="J109"/>
          <cell r="K109" t="str">
            <v>個</v>
          </cell>
          <cell r="L109">
            <v>10</v>
          </cell>
          <cell r="M109">
            <v>10</v>
          </cell>
          <cell r="N109">
            <v>10</v>
          </cell>
          <cell r="O109">
            <v>11.113199999999999</v>
          </cell>
          <cell r="P109">
            <v>0.15</v>
          </cell>
          <cell r="Q109">
            <v>0.15</v>
          </cell>
          <cell r="R109">
            <v>16.875</v>
          </cell>
          <cell r="S109">
            <v>1</v>
          </cell>
        </row>
        <row r="110">
          <cell r="C110" t="str">
            <v>DG10DP</v>
          </cell>
          <cell r="D110" t="str">
            <v>Zigbee LED 軌道連接器 （水準L）</v>
          </cell>
          <cell r="E110">
            <v>90.001099999999994</v>
          </cell>
          <cell r="F110">
            <v>118</v>
          </cell>
          <cell r="G110" t="str">
            <v>W10電動馬達伸縮軌道1830
(停產)</v>
          </cell>
          <cell r="H110" t="str">
            <v>水準旋轉轉角</v>
          </cell>
          <cell r="I110"/>
          <cell r="J110"/>
          <cell r="K110" t="str">
            <v>個</v>
          </cell>
          <cell r="L110">
            <v>9</v>
          </cell>
          <cell r="M110">
            <v>9</v>
          </cell>
          <cell r="N110">
            <v>9</v>
          </cell>
          <cell r="O110">
            <v>9.9144000000000005</v>
          </cell>
          <cell r="P110">
            <v>0.19</v>
          </cell>
          <cell r="Q110">
            <v>0.19</v>
          </cell>
          <cell r="R110">
            <v>21.375</v>
          </cell>
          <cell r="S110">
            <v>1</v>
          </cell>
        </row>
        <row r="111">
          <cell r="C111" t="str">
            <v>DG10DB</v>
          </cell>
          <cell r="D111" t="str">
            <v>Zigbee LED 磁軌，帶側翼 2M</v>
          </cell>
          <cell r="E111">
            <v>90.001109999999997</v>
          </cell>
          <cell r="F111">
            <v>119</v>
          </cell>
          <cell r="G111" t="str">
            <v>W10電動馬達伸縮軌道2340
(停產)</v>
          </cell>
          <cell r="H111" t="str">
            <v>B型
尺寸：27*52*2000毫米</v>
          </cell>
          <cell r="I111"/>
          <cell r="J111"/>
          <cell r="K111" t="str">
            <v>個</v>
          </cell>
          <cell r="L111">
            <v>27</v>
          </cell>
          <cell r="M111">
            <v>27</v>
          </cell>
          <cell r="N111">
            <v>27</v>
          </cell>
          <cell r="O111">
            <v>29.073600000000003</v>
          </cell>
          <cell r="P111">
            <v>2.5333333333333301</v>
          </cell>
          <cell r="Q111">
            <v>2.5333333333333301</v>
          </cell>
          <cell r="R111">
            <v>284.9999999999996</v>
          </cell>
          <cell r="S111">
            <v>4</v>
          </cell>
        </row>
        <row r="112">
          <cell r="C112" t="str">
            <v>DG20DWB</v>
          </cell>
          <cell r="D112" t="str">
            <v>磁性燈 L 型連接器 B（外角）</v>
          </cell>
          <cell r="E112">
            <v>47823.001120000001</v>
          </cell>
          <cell r="F112">
            <v>249</v>
          </cell>
          <cell r="G112" t="str">
            <v>W10電動馬達伸縮軌道2545
(停產)</v>
          </cell>
          <cell r="H112" t="str">
            <v>出角</v>
          </cell>
          <cell r="I112"/>
          <cell r="J112"/>
          <cell r="K112" t="str">
            <v>個</v>
          </cell>
          <cell r="L112">
            <v>10</v>
          </cell>
          <cell r="M112">
            <v>10</v>
          </cell>
          <cell r="N112">
            <v>10</v>
          </cell>
          <cell r="O112">
            <v>10.8</v>
          </cell>
          <cell r="P112">
            <v>0.26</v>
          </cell>
          <cell r="Q112">
            <v>0.26</v>
          </cell>
          <cell r="R112">
            <v>29.25</v>
          </cell>
          <cell r="S112">
            <v>1</v>
          </cell>
        </row>
        <row r="113">
          <cell r="C113" t="str">
            <v>DG20DPB</v>
          </cell>
          <cell r="D113" t="str">
            <v>磁性燈 L 型連接器 B（平角）</v>
          </cell>
          <cell r="E113">
            <v>47823.001129999997</v>
          </cell>
          <cell r="F113">
            <v>250</v>
          </cell>
          <cell r="G113" t="str">
            <v>Wifi 分享器 TP-link Mesh</v>
          </cell>
          <cell r="H113" t="str">
            <v>水準旋轉轉角</v>
          </cell>
          <cell r="I113"/>
          <cell r="J113"/>
          <cell r="K113" t="str">
            <v>個</v>
          </cell>
          <cell r="L113">
            <v>9</v>
          </cell>
          <cell r="M113">
            <v>9</v>
          </cell>
          <cell r="N113">
            <v>9</v>
          </cell>
          <cell r="O113">
            <v>9.7200000000000006</v>
          </cell>
          <cell r="P113">
            <v>0.23</v>
          </cell>
          <cell r="Q113">
            <v>0.23</v>
          </cell>
          <cell r="R113">
            <v>25.875</v>
          </cell>
          <cell r="S113">
            <v>1</v>
          </cell>
        </row>
        <row r="114">
          <cell r="C114" t="str">
            <v>DG20DNB</v>
          </cell>
          <cell r="D114" t="str">
            <v>磁性燈 L 型連接器 B（內角）</v>
          </cell>
          <cell r="E114">
            <v>47823.00114</v>
          </cell>
          <cell r="F114">
            <v>251</v>
          </cell>
          <cell r="G114" t="str">
            <v>Zigbee 多合一超級面板
（L&amp;N 連接）</v>
          </cell>
          <cell r="H114" t="str">
            <v>內角</v>
          </cell>
          <cell r="I114"/>
          <cell r="J114"/>
          <cell r="K114" t="str">
            <v>個</v>
          </cell>
          <cell r="L114">
            <v>9</v>
          </cell>
          <cell r="M114">
            <v>9</v>
          </cell>
          <cell r="N114">
            <v>9</v>
          </cell>
          <cell r="O114">
            <v>9.7200000000000006</v>
          </cell>
          <cell r="P114">
            <v>0.26</v>
          </cell>
          <cell r="Q114">
            <v>0.26</v>
          </cell>
          <cell r="R114">
            <v>29.25</v>
          </cell>
          <cell r="S114">
            <v>1</v>
          </cell>
        </row>
        <row r="115">
          <cell r="C115" t="str">
            <v>DG10DJ</v>
          </cell>
          <cell r="D115" t="str">
            <v>用於電源的 Zigbee LED 軌道連接器</v>
          </cell>
          <cell r="E115">
            <v>42446.001149999996</v>
          </cell>
          <cell r="F115">
            <v>140</v>
          </cell>
          <cell r="G115" t="str">
            <v>Zigbee 磁軌 2m</v>
          </cell>
          <cell r="H115" t="str">
            <v>輸入電壓：DC48v
連接協力廠商電源</v>
          </cell>
          <cell r="I115"/>
          <cell r="J115"/>
          <cell r="K115" t="str">
            <v>個</v>
          </cell>
          <cell r="L115">
            <v>3</v>
          </cell>
          <cell r="M115">
            <v>3</v>
          </cell>
          <cell r="N115">
            <v>3</v>
          </cell>
          <cell r="O115">
            <v>3.0780000000000003</v>
          </cell>
          <cell r="P115">
            <v>0.05</v>
          </cell>
          <cell r="Q115">
            <v>0.05</v>
          </cell>
          <cell r="R115">
            <v>5.625</v>
          </cell>
          <cell r="S115">
            <v>1</v>
          </cell>
        </row>
        <row r="116">
          <cell r="C116" t="str">
            <v>DG10DL</v>
          </cell>
          <cell r="D116" t="str">
            <v>Zigbee LED 軌道連接器 （L）</v>
          </cell>
          <cell r="E116">
            <v>90.001159999999999</v>
          </cell>
          <cell r="F116">
            <v>120</v>
          </cell>
          <cell r="G116" t="str">
            <v>Zigbee LED 軌道連接器 （內L）</v>
          </cell>
          <cell r="H116" t="str">
            <v>L 型連接器，不含訊號端子</v>
          </cell>
          <cell r="I116"/>
          <cell r="J116"/>
          <cell r="K116" t="str">
            <v>個</v>
          </cell>
          <cell r="L116">
            <v>4</v>
          </cell>
          <cell r="M116">
            <v>4</v>
          </cell>
          <cell r="N116">
            <v>4</v>
          </cell>
          <cell r="O116">
            <v>4.2768000000000006</v>
          </cell>
          <cell r="P116">
            <v>0.05</v>
          </cell>
          <cell r="Q116">
            <v>0.05</v>
          </cell>
          <cell r="R116">
            <v>5.625</v>
          </cell>
          <cell r="S116">
            <v>1</v>
          </cell>
        </row>
        <row r="117">
          <cell r="C117" t="str">
            <v>DG10DI</v>
          </cell>
          <cell r="D117" t="str">
            <v>Zigbee LED 軌道連接器 （I）</v>
          </cell>
          <cell r="E117">
            <v>90.001170000000002</v>
          </cell>
          <cell r="F117">
            <v>121</v>
          </cell>
          <cell r="G117" t="str">
            <v>Zigbee LED 軌道連接器 （外L）</v>
          </cell>
          <cell r="H117" t="str">
            <v>不含訊號端子的 I 型連接器</v>
          </cell>
          <cell r="I117"/>
          <cell r="J117"/>
          <cell r="K117" t="str">
            <v>個</v>
          </cell>
          <cell r="L117">
            <v>4</v>
          </cell>
          <cell r="M117">
            <v>4</v>
          </cell>
          <cell r="N117">
            <v>4</v>
          </cell>
          <cell r="O117">
            <v>4.2768000000000006</v>
          </cell>
          <cell r="P117">
            <v>0.04</v>
          </cell>
          <cell r="Q117">
            <v>0.04</v>
          </cell>
          <cell r="R117">
            <v>4.5</v>
          </cell>
          <cell r="S117">
            <v>1</v>
          </cell>
        </row>
        <row r="118">
          <cell r="C118" t="str">
            <v>DG10DX</v>
          </cell>
          <cell r="D118" t="str">
            <v>Zigbee LED 軌道吊墜線</v>
          </cell>
          <cell r="E118">
            <v>90.001180000000005</v>
          </cell>
          <cell r="F118">
            <v>122</v>
          </cell>
          <cell r="G118" t="str">
            <v>Zigbee LED 軌道連接器 （水準L）</v>
          </cell>
          <cell r="H118" t="str">
            <v>長度：1m</v>
          </cell>
          <cell r="I118"/>
          <cell r="J118"/>
          <cell r="K118" t="str">
            <v>組</v>
          </cell>
          <cell r="L118">
            <v>2</v>
          </cell>
          <cell r="M118">
            <v>2</v>
          </cell>
          <cell r="N118">
            <v>2</v>
          </cell>
          <cell r="O118">
            <v>2.3976000000000002</v>
          </cell>
          <cell r="P118">
            <v>0.05</v>
          </cell>
          <cell r="Q118">
            <v>0.05</v>
          </cell>
          <cell r="R118">
            <v>5.625</v>
          </cell>
          <cell r="S118">
            <v>1</v>
          </cell>
        </row>
        <row r="119">
          <cell r="C119" t="str">
            <v>DCZ08133</v>
          </cell>
          <cell r="D119" t="str">
            <v>Zigbee LED 磁軌射燈 8W</v>
          </cell>
          <cell r="E119">
            <v>90.001189999999994</v>
          </cell>
          <cell r="F119">
            <v>123</v>
          </cell>
          <cell r="G119" t="str">
            <v>Zigbee LED 磁軌，帶側翼 2M</v>
          </cell>
          <cell r="H119" t="str">
            <v>電源： DC48V 50Hz
尺寸：Φ38 * 94毫米
視角：24°±3°
額定功率：8W
CRI＞90Ra
色溫範圍：2700K-6000K</v>
          </cell>
          <cell r="I119"/>
          <cell r="J119"/>
          <cell r="K119" t="str">
            <v>顆</v>
          </cell>
          <cell r="L119">
            <v>36.58</v>
          </cell>
          <cell r="M119">
            <v>37</v>
          </cell>
          <cell r="N119">
            <v>37</v>
          </cell>
          <cell r="O119">
            <v>39.506399999999999</v>
          </cell>
          <cell r="P119">
            <v>0.36</v>
          </cell>
          <cell r="Q119">
            <v>0.36</v>
          </cell>
          <cell r="R119">
            <v>40.5</v>
          </cell>
          <cell r="S119">
            <v>1</v>
          </cell>
        </row>
        <row r="120">
          <cell r="C120" t="str">
            <v>DCZ15133</v>
          </cell>
          <cell r="D120" t="str">
            <v>Zigbee LED 磁軌射燈 15W</v>
          </cell>
          <cell r="E120">
            <v>90.001199999999997</v>
          </cell>
          <cell r="F120">
            <v>124</v>
          </cell>
          <cell r="G120" t="str">
            <v>Zigbee LED 軌道連接器 （L）</v>
          </cell>
          <cell r="H120" t="str">
            <v>電源： DC48V 50Hz
尺寸：Φ60*110mm
視角：24°±3°
額定功率：15W
CRI＞90Ra
色溫範圍：2700K-6000K</v>
          </cell>
          <cell r="I120"/>
          <cell r="J120"/>
          <cell r="K120" t="str">
            <v>顆</v>
          </cell>
          <cell r="L120">
            <v>45.28</v>
          </cell>
          <cell r="M120">
            <v>45</v>
          </cell>
          <cell r="N120">
            <v>45</v>
          </cell>
          <cell r="O120">
            <v>48.902400000000007</v>
          </cell>
          <cell r="P120">
            <v>0.52</v>
          </cell>
          <cell r="Q120">
            <v>0.52</v>
          </cell>
          <cell r="R120">
            <v>58.5</v>
          </cell>
          <cell r="S120">
            <v>1</v>
          </cell>
        </row>
        <row r="121">
          <cell r="C121" t="str">
            <v>DCZ15131</v>
          </cell>
          <cell r="D121" t="str">
            <v>智能磁吸格栅灯 15W</v>
          </cell>
          <cell r="E121">
            <v>46268.001210000002</v>
          </cell>
          <cell r="F121">
            <v>199</v>
          </cell>
          <cell r="G121" t="str">
            <v>Zigbee LED 軌道連接器 （I）</v>
          </cell>
          <cell r="H121" t="str">
            <v>電源： DC48V 50Hz
尺寸：410 * 22 * 25mm
視角：70°±3°
額定功率：15W
CRI&gt;90Ra
色溫範圍：2700K-6000K</v>
          </cell>
          <cell r="I121"/>
          <cell r="J121"/>
          <cell r="K121" t="str">
            <v>顆</v>
          </cell>
          <cell r="L121">
            <v>39.07</v>
          </cell>
          <cell r="M121">
            <v>41</v>
          </cell>
          <cell r="N121">
            <v>41</v>
          </cell>
          <cell r="O121">
            <v>42.195600000000006</v>
          </cell>
          <cell r="P121">
            <v>0.37</v>
          </cell>
          <cell r="Q121">
            <v>0.37</v>
          </cell>
          <cell r="R121">
            <v>41.625</v>
          </cell>
          <cell r="S121">
            <v>1</v>
          </cell>
        </row>
        <row r="122">
          <cell r="C122" t="str">
            <v>DCZ08131</v>
          </cell>
          <cell r="D122" t="str">
            <v>智能磁吸格栅灯 8W</v>
          </cell>
          <cell r="E122">
            <v>46268.001219999998</v>
          </cell>
          <cell r="F122">
            <v>200</v>
          </cell>
          <cell r="G122" t="str">
            <v>Zigbee LED 軌道吊墜線</v>
          </cell>
          <cell r="H122" t="str">
            <v>電源： DC48V 50Hz
尺寸：207.5 * 22 * 25mm
視角：70°±3°
額定功率：15W
CRI&gt;90Ra
色溫範圍：2700K-6000K</v>
          </cell>
          <cell r="I122"/>
          <cell r="J122"/>
          <cell r="K122" t="str">
            <v>顆</v>
          </cell>
          <cell r="L122">
            <v>33.25</v>
          </cell>
          <cell r="M122">
            <v>35</v>
          </cell>
          <cell r="N122">
            <v>35</v>
          </cell>
          <cell r="O122">
            <v>35.910000000000004</v>
          </cell>
          <cell r="P122">
            <v>0.22</v>
          </cell>
          <cell r="Q122">
            <v>0.22</v>
          </cell>
          <cell r="R122">
            <v>24.75</v>
          </cell>
          <cell r="S122">
            <v>1</v>
          </cell>
        </row>
        <row r="123">
          <cell r="C123" t="str">
            <v>DCZ15132</v>
          </cell>
          <cell r="D123" t="str">
            <v>Zigbee 磁性線性燈 15W</v>
          </cell>
          <cell r="E123">
            <v>90.001230000000007</v>
          </cell>
          <cell r="F123">
            <v>125</v>
          </cell>
          <cell r="G123" t="str">
            <v>Zigbee LED 磁軌射燈 8W</v>
          </cell>
          <cell r="H123" t="str">
            <v>電源： DC48V 50Hz
尺寸：410 * 22 * 25mm
視角：110°±3°
額定功率：15W
CRI＞90Ra
色溫範圍：2700K-6000K</v>
          </cell>
          <cell r="I123"/>
          <cell r="J123"/>
          <cell r="K123" t="str">
            <v>顆</v>
          </cell>
          <cell r="L123">
            <v>41.23</v>
          </cell>
          <cell r="M123">
            <v>43</v>
          </cell>
          <cell r="N123">
            <v>43</v>
          </cell>
          <cell r="O123">
            <v>44.528399999999998</v>
          </cell>
          <cell r="P123">
            <v>0.34</v>
          </cell>
          <cell r="Q123">
            <v>0.34</v>
          </cell>
          <cell r="R123">
            <v>38.25</v>
          </cell>
          <cell r="S123">
            <v>1</v>
          </cell>
        </row>
        <row r="124">
          <cell r="C124" t="str">
            <v>DCZ08132</v>
          </cell>
          <cell r="D124" t="str">
            <v>Zigbee 磁性線性燈 8W</v>
          </cell>
          <cell r="E124">
            <v>90.001239999999996</v>
          </cell>
          <cell r="F124">
            <v>126</v>
          </cell>
          <cell r="G124" t="str">
            <v>Zigbee LED 磁軌射燈 15W</v>
          </cell>
          <cell r="H124" t="str">
            <v>電源： DC48V 50Hz
尺寸：207.5 * 22 * 25mm
視角：110°±3°
額定功率：15W
CRI＞90Ra
色溫範圍：2700K-6000K</v>
          </cell>
          <cell r="I124"/>
          <cell r="J124"/>
          <cell r="K124" t="str">
            <v>顆</v>
          </cell>
          <cell r="L124">
            <v>33.25</v>
          </cell>
          <cell r="M124">
            <v>35</v>
          </cell>
          <cell r="N124">
            <v>35</v>
          </cell>
          <cell r="O124">
            <v>35.910000000000004</v>
          </cell>
          <cell r="P124">
            <v>0.2</v>
          </cell>
          <cell r="Q124">
            <v>0.2</v>
          </cell>
          <cell r="R124">
            <v>22.5</v>
          </cell>
          <cell r="S124">
            <v>1</v>
          </cell>
        </row>
        <row r="125">
          <cell r="C125" t="str">
            <v>DG10Z12B</v>
          </cell>
          <cell r="D125" t="str">
            <v>智慧磁性摺疊格柵燈12W S2</v>
          </cell>
          <cell r="E125">
            <v>46268.001250000001</v>
          </cell>
          <cell r="F125">
            <v>201</v>
          </cell>
          <cell r="G125" t="str">
            <v>Zigbee 磁性線性燈 15W</v>
          </cell>
          <cell r="H125" t="str">
            <v>電源： DC48V 50Hz
燈具尺寸：222 毫米 x 22.5 毫米 x 110 毫米
顯色指數：Ra&gt;93
發光角度：24°
功率：12w
色溫範圍：2700K~6000K</v>
          </cell>
          <cell r="I125"/>
          <cell r="J125"/>
          <cell r="K125" t="str">
            <v>顆</v>
          </cell>
          <cell r="L125">
            <v>33</v>
          </cell>
          <cell r="M125">
            <v>33</v>
          </cell>
          <cell r="N125">
            <v>33</v>
          </cell>
          <cell r="O125">
            <v>35.64</v>
          </cell>
          <cell r="P125">
            <v>0.62</v>
          </cell>
          <cell r="Q125">
            <v>0.62</v>
          </cell>
          <cell r="R125">
            <v>69.75</v>
          </cell>
          <cell r="S125">
            <v>3</v>
          </cell>
        </row>
        <row r="126">
          <cell r="C126" t="str">
            <v>DD10Z06B</v>
          </cell>
          <cell r="D126" t="str">
            <v>智慧磁性圓形枝形吊燈S2</v>
          </cell>
          <cell r="E126">
            <v>46268.001259999997</v>
          </cell>
          <cell r="F126">
            <v>202</v>
          </cell>
          <cell r="G126" t="str">
            <v>Zigbee 磁性線性燈 8W</v>
          </cell>
          <cell r="H126" t="str">
            <v>電源： DC48V 50Hz
燈具尺寸：發光表面直徑100mm
顯色指數：Ra&gt;93
發光角度：140°
功率：6w
色溫範圍：2700K~6000K</v>
          </cell>
          <cell r="I126"/>
          <cell r="J126"/>
          <cell r="K126" t="str">
            <v>組</v>
          </cell>
          <cell r="L126">
            <v>30</v>
          </cell>
          <cell r="M126">
            <v>30</v>
          </cell>
          <cell r="N126">
            <v>30</v>
          </cell>
          <cell r="O126">
            <v>32.400000000000006</v>
          </cell>
          <cell r="P126">
            <v>0.72</v>
          </cell>
          <cell r="Q126">
            <v>0.72</v>
          </cell>
          <cell r="R126">
            <v>81</v>
          </cell>
          <cell r="S126">
            <v>3</v>
          </cell>
        </row>
        <row r="127">
          <cell r="C127" t="str">
            <v>DD10Z05A</v>
          </cell>
          <cell r="D127" t="str">
            <v>智慧磁性枝形吊燈 S2 
（蠟燭形狀 1 燈）</v>
          </cell>
          <cell r="E127">
            <v>46268.001270000001</v>
          </cell>
          <cell r="F127">
            <v>203</v>
          </cell>
          <cell r="G127" t="str">
            <v>Zigbee-IR遙控器</v>
          </cell>
          <cell r="H127" t="str">
            <v>電源： DC48V 50Hz
燈具尺寸：發光面直徑50mm，高度：1200mm（可調）
顯色指數：Ra&gt;93
發光角度：14°
功率：5w，
色溫範圍：2700K~6000K</v>
          </cell>
          <cell r="I127"/>
          <cell r="J127"/>
          <cell r="K127" t="str">
            <v>組</v>
          </cell>
          <cell r="L127">
            <v>25</v>
          </cell>
          <cell r="M127">
            <v>25</v>
          </cell>
          <cell r="N127">
            <v>25</v>
          </cell>
          <cell r="O127">
            <v>27</v>
          </cell>
          <cell r="P127">
            <v>0.48</v>
          </cell>
          <cell r="Q127">
            <v>0.48</v>
          </cell>
          <cell r="R127">
            <v>54</v>
          </cell>
          <cell r="S127">
            <v>3</v>
          </cell>
        </row>
        <row r="128">
          <cell r="C128" t="str">
            <v>DD10Z15A</v>
          </cell>
          <cell r="D128" t="str">
            <v>智慧磁性枝形吊燈 S2
 （蠟燭形狀 3 燈）</v>
          </cell>
          <cell r="E128">
            <v>46268.001279999997</v>
          </cell>
          <cell r="F128">
            <v>204</v>
          </cell>
          <cell r="G128" t="str">
            <v>人臉辨識門鎖V5(黑)</v>
          </cell>
          <cell r="H128" t="str">
            <v>電源： DC48V 50Hz
燈具尺寸：發光表面直徑50mm，總長222mm，高度：1200mm（可調）
顯色指數：Ra&gt;93
發光角度：14°
功率：5w，（三頭型號5W * 3）
色溫範圍：2700K~6000K</v>
          </cell>
          <cell r="I128"/>
          <cell r="J128"/>
          <cell r="K128" t="str">
            <v>組</v>
          </cell>
          <cell r="L128">
            <v>62</v>
          </cell>
          <cell r="M128">
            <v>62</v>
          </cell>
          <cell r="N128">
            <v>62</v>
          </cell>
          <cell r="O128">
            <v>66.960000000000008</v>
          </cell>
          <cell r="P128">
            <v>1.1499999999999999</v>
          </cell>
          <cell r="Q128">
            <v>1.1499999999999999</v>
          </cell>
          <cell r="R128">
            <v>129.37499999999997</v>
          </cell>
          <cell r="S128">
            <v>3</v>
          </cell>
        </row>
        <row r="129">
          <cell r="C129" t="str">
            <v>DCN08016</v>
          </cell>
          <cell r="D129" t="str">
            <v>智慧磁力格柵燈8W 3000k Q系列
(停產)</v>
          </cell>
          <cell r="E129">
            <v>46268.00129</v>
          </cell>
          <cell r="F129">
            <v>205</v>
          </cell>
          <cell r="G129" t="str">
            <v>人體感應器-ZigBee</v>
          </cell>
          <cell r="H129" t="str">
            <v>單色溫度燈
具有「智慧調光模組軟光系列」可調光
功率：8英寸12w
尺寸：長220 * 寬103 * H22mm長440 * 寬22 * 高45毫米
發光角度：28°
輸入電壓 48V
材料和顏色：航空鋁和黑色
顯色指數 CRI≧90
控制方式：語音、Mixpad、場景切換、APP</v>
          </cell>
          <cell r="I129"/>
          <cell r="J129"/>
          <cell r="K129" t="str">
            <v>顆</v>
          </cell>
          <cell r="L129">
            <v>20</v>
          </cell>
          <cell r="M129">
            <v>20</v>
          </cell>
          <cell r="N129">
            <v>20</v>
          </cell>
          <cell r="O129">
            <v>23.868000000000002</v>
          </cell>
          <cell r="P129">
            <v>0.22</v>
          </cell>
          <cell r="Q129">
            <v>0.22</v>
          </cell>
          <cell r="R129">
            <v>24.75</v>
          </cell>
          <cell r="S129">
            <v>1</v>
          </cell>
        </row>
        <row r="130">
          <cell r="C130" t="str">
            <v>DCN08021</v>
          </cell>
          <cell r="D130" t="str">
            <v>智慧磁力格柵燈8W 4000k Q系列
(停產)</v>
          </cell>
          <cell r="E130">
            <v>46268.001300000004</v>
          </cell>
          <cell r="F130">
            <v>206</v>
          </cell>
          <cell r="G130" t="str">
            <v>人體狀態偵測器</v>
          </cell>
          <cell r="H130" t="str">
            <v xml:space="preserve">單色溫度燈
具有「智慧調光模組軟光系列」可調光
功率：8英寸12w
尺寸：長220 * 寬103 * H22mm長440 * 寬22 * 高45毫米
發光角度：28°
輸入電壓 48V
材料和顏色：航空鋁和黑色
顯色指數 CRI≧90
控制方式：語音、Mixpad、場景切換、APP
</v>
          </cell>
          <cell r="I130"/>
          <cell r="J130"/>
          <cell r="K130" t="str">
            <v>顆</v>
          </cell>
          <cell r="L130">
            <v>22.1</v>
          </cell>
          <cell r="M130">
            <v>20</v>
          </cell>
          <cell r="N130">
            <v>20</v>
          </cell>
          <cell r="O130">
            <v>23.868000000000002</v>
          </cell>
          <cell r="P130">
            <v>0.22</v>
          </cell>
          <cell r="Q130">
            <v>0.22</v>
          </cell>
          <cell r="R130">
            <v>24.75</v>
          </cell>
          <cell r="S130">
            <v>1</v>
          </cell>
        </row>
        <row r="131">
          <cell r="C131" t="str">
            <v>DCN08025</v>
          </cell>
          <cell r="D131" t="str">
            <v>智慧磁力格柵燈8W 6000k Q系列
(停產)</v>
          </cell>
          <cell r="E131">
            <v>46268.00131</v>
          </cell>
          <cell r="F131">
            <v>207</v>
          </cell>
          <cell r="G131" t="str">
            <v>人体状态传感器 MixSense</v>
          </cell>
          <cell r="H131" t="str">
            <v>單色溫度燈
具有「智慧調光模組軟光系列」可調光
功率：8英寸12w
尺寸：長220 * 寬103 * H22mm長440 * 寬22 * 高45毫米
發光角度：28°
輸入電壓 48V
材料和顏色：航空鋁和黑色
顯色指數 CRI≧90
控制方式：語音、Mixpad、場景切換、APP</v>
          </cell>
          <cell r="I131"/>
          <cell r="J131"/>
          <cell r="K131" t="str">
            <v>顆</v>
          </cell>
          <cell r="L131">
            <v>22.1</v>
          </cell>
          <cell r="M131"/>
          <cell r="N131">
            <v>22.1</v>
          </cell>
          <cell r="O131">
            <v>23.868000000000002</v>
          </cell>
          <cell r="P131">
            <v>0.22</v>
          </cell>
          <cell r="Q131">
            <v>0.22</v>
          </cell>
          <cell r="R131">
            <v>24.75</v>
          </cell>
          <cell r="S131">
            <v>1</v>
          </cell>
        </row>
        <row r="132">
          <cell r="C132" t="str">
            <v>DCN15016</v>
          </cell>
          <cell r="D132" t="str">
            <v>智慧磁力格柵燈15W 3000k Q系列
(停產)</v>
          </cell>
          <cell r="E132">
            <v>46268.001320000003</v>
          </cell>
          <cell r="F132">
            <v>208</v>
          </cell>
          <cell r="G132" t="str">
            <v>入牆式開關模組
ZigBee(單火)</v>
          </cell>
          <cell r="H132" t="str">
            <v xml:space="preserve">單色溫度燈
具有「智慧調光模組軟光系列」可調光
功率：8英寸12w
尺寸：長220 * 寬103 * H22mm長440 * 寬22 * 高45毫米
發光角度：28°
輸入電壓 48V
材料和顏色：航空鋁和黑色
顯色指數 CRI≧90
控制方式：語音、Mixpad、場景切換、APP
</v>
          </cell>
          <cell r="I132"/>
          <cell r="J132"/>
          <cell r="K132" t="str">
            <v>顆</v>
          </cell>
          <cell r="L132">
            <v>27</v>
          </cell>
          <cell r="M132">
            <v>27</v>
          </cell>
          <cell r="N132">
            <v>27</v>
          </cell>
          <cell r="O132">
            <v>31.881600000000002</v>
          </cell>
          <cell r="P132">
            <v>0.37</v>
          </cell>
          <cell r="Q132">
            <v>0.37</v>
          </cell>
          <cell r="R132">
            <v>41.625</v>
          </cell>
          <cell r="S132">
            <v>1</v>
          </cell>
        </row>
        <row r="133">
          <cell r="C133" t="str">
            <v>DCN15016</v>
          </cell>
          <cell r="D133" t="str">
            <v>智慧磁力格柵燈15W 4000k Q系列
(停產)</v>
          </cell>
          <cell r="E133">
            <v>46268.001329999999</v>
          </cell>
          <cell r="F133">
            <v>209</v>
          </cell>
          <cell r="G133" t="str">
            <v>入牆式開關模組
WiFi</v>
          </cell>
          <cell r="H133" t="str">
            <v xml:space="preserve">單色溫度燈
具有「智慧調光模組軟光系列」可調光
功率：8英寸12w
尺寸：長220 * 寬103 * H22mm長440 * 寬22 * 高45毫米
發光角度：28°
輸入電壓 48V
材料和顏色：航空鋁和黑色
顯色指數 CRI≧90
控制方式：語音、Mixpad、場景切換、APP
</v>
          </cell>
          <cell r="I133"/>
          <cell r="J133"/>
          <cell r="K133" t="str">
            <v>顆</v>
          </cell>
          <cell r="L133">
            <v>27</v>
          </cell>
          <cell r="M133">
            <v>27</v>
          </cell>
          <cell r="N133">
            <v>27</v>
          </cell>
          <cell r="O133">
            <v>31.881600000000002</v>
          </cell>
          <cell r="P133">
            <v>0.37</v>
          </cell>
          <cell r="Q133">
            <v>0.37</v>
          </cell>
          <cell r="R133">
            <v>41.625</v>
          </cell>
          <cell r="S133">
            <v>1</v>
          </cell>
        </row>
        <row r="134">
          <cell r="C134" t="str">
            <v>DCN15025</v>
          </cell>
          <cell r="D134" t="str">
            <v>智慧磁格柵燈15W 6000k Q系列
(停產)</v>
          </cell>
          <cell r="E134">
            <v>46268.001340000003</v>
          </cell>
          <cell r="F134">
            <v>210</v>
          </cell>
          <cell r="G134" t="str">
            <v>入牆式開關模組
ZigBee (中性線)</v>
          </cell>
          <cell r="H134" t="str">
            <v xml:space="preserve">單色溫度燈
具有「智慧調光模組軟光系列」可調光
功率：8英寸12w
尺寸：長220 * 寬103 * H22mm長440 * 寬22 * 高45毫米
發光角度：28°
輸入電壓 48V
材料和顏色：航空鋁和黑色
顯色指數 CRI≧90
控制方式：語音、Mixpad、場景切換、APP
</v>
          </cell>
          <cell r="I134"/>
          <cell r="J134"/>
          <cell r="K134" t="str">
            <v>顆</v>
          </cell>
          <cell r="L134">
            <v>29.52</v>
          </cell>
          <cell r="M134"/>
          <cell r="N134">
            <v>29.52</v>
          </cell>
          <cell r="O134">
            <v>31.881600000000002</v>
          </cell>
          <cell r="P134">
            <v>0.37</v>
          </cell>
          <cell r="Q134">
            <v>0.37</v>
          </cell>
          <cell r="R134">
            <v>41.625</v>
          </cell>
          <cell r="S134">
            <v>1</v>
          </cell>
        </row>
        <row r="135">
          <cell r="C135" t="str">
            <v>DCN08017</v>
          </cell>
          <cell r="D135" t="str">
            <v>智慧磁性泛光燈8W 3000k Q系列
(停產)</v>
          </cell>
          <cell r="E135">
            <v>46268.001349999999</v>
          </cell>
          <cell r="F135">
            <v>211</v>
          </cell>
          <cell r="G135" t="str">
            <v>大白旋轉式監視器-Wifi</v>
          </cell>
          <cell r="H135" t="str">
            <v xml:space="preserve">單色溫度燈
具有「智慧調光模組軟光系列」可調光
色溫：3000k/4000k/6000k
尺寸：長300 * 寬22 * H45 / L600 * 寬22 * 高45mm
發光角度：100°
輸入電壓 48V
材料和顏色：航空鋁和黑色
顯色指數 CRI≧90
控制方式：語音、Mixpad、場景切換、APP
</v>
          </cell>
          <cell r="I135"/>
          <cell r="J135"/>
          <cell r="K135" t="str">
            <v>顆</v>
          </cell>
          <cell r="L135">
            <v>17</v>
          </cell>
          <cell r="M135">
            <v>17</v>
          </cell>
          <cell r="N135">
            <v>17</v>
          </cell>
          <cell r="O135">
            <v>18.921600000000002</v>
          </cell>
          <cell r="P135">
            <v>0.25</v>
          </cell>
          <cell r="Q135">
            <v>0.25</v>
          </cell>
          <cell r="R135">
            <v>28.125</v>
          </cell>
          <cell r="S135">
            <v>1</v>
          </cell>
        </row>
        <row r="136">
          <cell r="C136" t="str">
            <v>DCN08017</v>
          </cell>
          <cell r="D136" t="str">
            <v>智慧磁力泛光燈8W 4000k Q系列
(停產)</v>
          </cell>
          <cell r="E136">
            <v>46268.001360000002</v>
          </cell>
          <cell r="F136">
            <v>212</v>
          </cell>
          <cell r="G136" t="str">
            <v>小圓遙控器</v>
          </cell>
          <cell r="H136" t="str">
            <v xml:space="preserve">單色溫度燈
具有「智慧調光模組軟光系列」可調光
色溫：3000k/4000k/6000k
尺寸：長300 * 寬22 * H45 / L600 * 寬22 * 高45mm
發光角度：100°
輸入電壓 48V
材料和顏色：航空鋁和黑色
顯色指數 CRI≧90
控制方式：語音、Mixpad、場景切換、APP
</v>
          </cell>
          <cell r="I136"/>
          <cell r="J136"/>
          <cell r="K136" t="str">
            <v>顆</v>
          </cell>
          <cell r="L136">
            <v>17</v>
          </cell>
          <cell r="M136">
            <v>17</v>
          </cell>
          <cell r="N136">
            <v>17</v>
          </cell>
          <cell r="O136">
            <v>18.921600000000002</v>
          </cell>
          <cell r="P136">
            <v>0.25</v>
          </cell>
          <cell r="Q136">
            <v>0.25</v>
          </cell>
          <cell r="R136">
            <v>28.125</v>
          </cell>
          <cell r="S136">
            <v>1</v>
          </cell>
        </row>
        <row r="137">
          <cell r="C137" t="str">
            <v>DCN08017</v>
          </cell>
          <cell r="D137" t="str">
            <v>智慧磁力泛光燈8W 6000k Q系列
(停產)</v>
          </cell>
          <cell r="E137">
            <v>46268.001369999998</v>
          </cell>
          <cell r="F137">
            <v>213</v>
          </cell>
          <cell r="G137" t="str">
            <v>小方遙控器
(停產)</v>
          </cell>
          <cell r="H137" t="str">
            <v xml:space="preserve">單色溫度燈
具有「智慧調光模組軟光系列」可調光
色溫：3000k/4000k/6000k
尺寸：長300 * 寬22 * H45 / L600 * 寬22 * 高45mm
發光角度：100°
輸入電壓 48V
材料和顏色：航空鋁和黑色
顯色指數 CRI≧90
控制方式：語音、Mixpad、場景切換、APP
</v>
          </cell>
          <cell r="I137"/>
          <cell r="J137"/>
          <cell r="K137" t="str">
            <v>顆</v>
          </cell>
          <cell r="L137">
            <v>17</v>
          </cell>
          <cell r="M137">
            <v>17</v>
          </cell>
          <cell r="N137">
            <v>17</v>
          </cell>
          <cell r="O137">
            <v>18.921600000000002</v>
          </cell>
          <cell r="P137">
            <v>0.25</v>
          </cell>
          <cell r="Q137">
            <v>0.25</v>
          </cell>
          <cell r="R137">
            <v>28.125</v>
          </cell>
          <cell r="S137">
            <v>1</v>
          </cell>
        </row>
        <row r="138">
          <cell r="C138" t="str">
            <v>DCN15017</v>
          </cell>
          <cell r="D138" t="str">
            <v>智慧磁力泛光燈15W 3000k Q系列
(停產)</v>
          </cell>
          <cell r="E138">
            <v>46268.001380000002</v>
          </cell>
          <cell r="F138">
            <v>214</v>
          </cell>
          <cell r="G138" t="str">
            <v>戶外型監視器專用NVR</v>
          </cell>
          <cell r="H138" t="str">
            <v xml:space="preserve">單色溫度燈
具有「智慧調光模組軟光系列」可調光
功率：8w 15w
尺寸：長300 * 寬22 * H45 / L600 * 寬22 * 高45mm
發光角度：100°
輸入電壓 48V
材料和顏色：航空鋁和黑色
顯色指數 CRI≧90
控制方式：語音、Mixpad、場景切換、APP
</v>
          </cell>
          <cell r="I138"/>
          <cell r="J138"/>
          <cell r="K138" t="str">
            <v>顆</v>
          </cell>
          <cell r="L138">
            <v>23</v>
          </cell>
          <cell r="M138">
            <v>23</v>
          </cell>
          <cell r="N138">
            <v>23</v>
          </cell>
          <cell r="O138">
            <v>26.535600000000002</v>
          </cell>
          <cell r="P138">
            <v>0.44</v>
          </cell>
          <cell r="Q138">
            <v>0.44</v>
          </cell>
          <cell r="R138">
            <v>49.5</v>
          </cell>
          <cell r="S138">
            <v>1</v>
          </cell>
        </row>
        <row r="139">
          <cell r="C139" t="str">
            <v>DCN15017</v>
          </cell>
          <cell r="D139" t="str">
            <v>智慧磁性泛光燈15W 4000k Q系列
(停產)</v>
          </cell>
          <cell r="E139">
            <v>46268.001389999998</v>
          </cell>
          <cell r="F139">
            <v>215</v>
          </cell>
          <cell r="G139" t="str">
            <v>巨目旋轉式監視器-Wifi</v>
          </cell>
          <cell r="H139" t="str">
            <v xml:space="preserve">單色溫度燈
具有「智慧調光模組軟光系列」可調光
功率：8w 15w
尺寸：長300 * 寬22 * H45 / L600 * 寬22 * 高45mm
發光角度：100°
輸入電壓 48V
材料和顏色：航空鋁和黑色
顯色指數 CRI≧90
控制方式：語音、Mixpad、場景切換、APP
</v>
          </cell>
          <cell r="I139"/>
          <cell r="J139"/>
          <cell r="K139" t="str">
            <v>顆</v>
          </cell>
          <cell r="L139">
            <v>23</v>
          </cell>
          <cell r="M139">
            <v>23</v>
          </cell>
          <cell r="N139">
            <v>23</v>
          </cell>
          <cell r="O139">
            <v>26.535600000000002</v>
          </cell>
          <cell r="P139">
            <v>0.44</v>
          </cell>
          <cell r="Q139">
            <v>0.44</v>
          </cell>
          <cell r="R139">
            <v>49.5</v>
          </cell>
          <cell r="S139">
            <v>1</v>
          </cell>
        </row>
        <row r="140">
          <cell r="C140" t="str">
            <v>DCN15026</v>
          </cell>
          <cell r="D140" t="str">
            <v>智慧磁力泛光燈15W 6000k Q系列
(停產)</v>
          </cell>
          <cell r="E140">
            <v>46268.001400000001</v>
          </cell>
          <cell r="F140">
            <v>216</v>
          </cell>
          <cell r="G140" t="str">
            <v>用於電源的 Zigbee LED 軌道連接器</v>
          </cell>
          <cell r="H140" t="str">
            <v xml:space="preserve">單色溫度燈
具有「智慧調光模組軟光系列」可調光
功率：8w 15w
尺寸：長300 * 寬22 * H45 / L600 * 寬22 * 高45mm
發光角度：100°
輸入電壓 48V
材料和顏色：航空鋁和黑色
顯色指數 CRI≧90
控制方式：語音、Mixpad、場景切換、APP
</v>
          </cell>
          <cell r="I140"/>
          <cell r="J140"/>
          <cell r="K140" t="str">
            <v>顆</v>
          </cell>
          <cell r="L140">
            <v>24.57</v>
          </cell>
          <cell r="M140"/>
          <cell r="N140">
            <v>24.57</v>
          </cell>
          <cell r="O140">
            <v>26.535600000000002</v>
          </cell>
          <cell r="P140">
            <v>0.43</v>
          </cell>
          <cell r="Q140">
            <v>0.43</v>
          </cell>
          <cell r="R140">
            <v>48.375</v>
          </cell>
          <cell r="S140">
            <v>1</v>
          </cell>
        </row>
        <row r="141">
          <cell r="C141" t="str">
            <v>DCN08018</v>
          </cell>
          <cell r="D141" t="str">
            <v>智慧磁力射燈8W 3000k Q系列
(停產)</v>
          </cell>
          <cell r="E141">
            <v>46268.001409999997</v>
          </cell>
          <cell r="F141">
            <v>217</v>
          </cell>
          <cell r="G141" t="str">
            <v>多功能控制盒</v>
          </cell>
          <cell r="H141" t="str">
            <v xml:space="preserve">單色溫度燈
具有「智慧調光模組軟光系列」可調光
尺寸Φ45毫米*105毫米
發光角度：28°
輸入電壓 48V
材料和顏色：航空鋁和黑色
顯色指數 CRI≧90
控制方式：語音、Mixpad、場景切換、APP
</v>
          </cell>
          <cell r="I141"/>
          <cell r="J141"/>
          <cell r="K141" t="str">
            <v>顆</v>
          </cell>
          <cell r="L141">
            <v>20</v>
          </cell>
          <cell r="M141">
            <v>20</v>
          </cell>
          <cell r="N141">
            <v>20</v>
          </cell>
          <cell r="O141">
            <v>23.652000000000001</v>
          </cell>
          <cell r="P141">
            <v>0.3</v>
          </cell>
          <cell r="Q141">
            <v>0.3</v>
          </cell>
          <cell r="R141">
            <v>33.75</v>
          </cell>
          <cell r="S141">
            <v>1</v>
          </cell>
        </row>
        <row r="142">
          <cell r="C142" t="str">
            <v>DCN08018</v>
          </cell>
          <cell r="D142" t="str">
            <v>智慧磁力射燈8W 4000k Q系列
(停產)</v>
          </cell>
          <cell r="E142">
            <v>46268.001420000001</v>
          </cell>
          <cell r="F142">
            <v>218</v>
          </cell>
          <cell r="G142" t="str">
            <v>投射燈-80
(ZigBee)
(停產)</v>
          </cell>
          <cell r="H142" t="str">
            <v xml:space="preserve">單色溫度燈
具有「智慧調光模組軟光系列」可調光
尺寸Φ45毫米*105毫米
發光角度：28°
輸入電壓 48V
材料和顏色：航空鋁和黑色
顯色指數 CRI≧90
控制方式：語音、Mixpad、場景切換、APP
</v>
          </cell>
          <cell r="I142"/>
          <cell r="J142"/>
          <cell r="K142" t="str">
            <v>顆</v>
          </cell>
          <cell r="L142">
            <v>20</v>
          </cell>
          <cell r="M142">
            <v>20</v>
          </cell>
          <cell r="N142">
            <v>20</v>
          </cell>
          <cell r="O142">
            <v>23.652000000000001</v>
          </cell>
          <cell r="P142">
            <v>0.3</v>
          </cell>
          <cell r="Q142">
            <v>0.3</v>
          </cell>
          <cell r="R142">
            <v>33.75</v>
          </cell>
          <cell r="S142">
            <v>1</v>
          </cell>
        </row>
        <row r="143">
          <cell r="C143" t="str">
            <v>DCN08027</v>
          </cell>
          <cell r="D143" t="str">
            <v>智慧磁力射燈8W 6000k Q系列
(停產)</v>
          </cell>
          <cell r="E143">
            <v>46268.001429999997</v>
          </cell>
          <cell r="F143">
            <v>219</v>
          </cell>
          <cell r="G143" t="str">
            <v>投射燈-7cm-雙色</v>
          </cell>
          <cell r="H143" t="str">
            <v xml:space="preserve">單色溫度燈
具有「智慧調光模組軟光系列」可調光
尺寸Φ45毫米*105毫米
發光角度：28°
輸入電壓 48V
材料和顏色：航空鋁和黑色
顯色指數 CRI≧90
控制方式：語音、Mixpad、場景切換、APP
</v>
          </cell>
          <cell r="I143"/>
          <cell r="J143"/>
          <cell r="K143" t="str">
            <v>顆</v>
          </cell>
          <cell r="L143">
            <v>21.9</v>
          </cell>
          <cell r="M143"/>
          <cell r="N143">
            <v>21.9</v>
          </cell>
          <cell r="O143">
            <v>23.652000000000001</v>
          </cell>
          <cell r="P143">
            <v>0.3</v>
          </cell>
          <cell r="Q143">
            <v>0.3</v>
          </cell>
          <cell r="R143">
            <v>33.75</v>
          </cell>
          <cell r="S143">
            <v>1</v>
          </cell>
        </row>
        <row r="144">
          <cell r="C144" t="str">
            <v>DCN12019</v>
          </cell>
          <cell r="D144" t="str">
            <v>智慧磁性摺疊格柵燈12W 3000k Q系列
(停產)</v>
          </cell>
          <cell r="E144">
            <v>46268.00144</v>
          </cell>
          <cell r="F144">
            <v>220</v>
          </cell>
          <cell r="G144" t="str">
            <v>投射燈-5cm-雙色</v>
          </cell>
          <cell r="H144" t="str">
            <v xml:space="preserve">單色溫度燈
具有「智慧調光模組軟光系列」可調光
色溫：3000k/4000k/6000k
尺寸：長220 * 寬103 * H22mm
發光角度：28°
輸入電壓 48V
材料和顏色：航空鋁和黑色
顯色指數 CRI≧90
控制方式：語音、Mixpad、場景切換、APP
</v>
          </cell>
          <cell r="I144"/>
          <cell r="J144"/>
          <cell r="K144" t="str">
            <v>顆</v>
          </cell>
          <cell r="L144">
            <v>29</v>
          </cell>
          <cell r="M144">
            <v>29</v>
          </cell>
          <cell r="N144">
            <v>29</v>
          </cell>
          <cell r="O144">
            <v>34.354799999999997</v>
          </cell>
          <cell r="P144">
            <v>0.48</v>
          </cell>
          <cell r="Q144">
            <v>0.48</v>
          </cell>
          <cell r="R144">
            <v>54</v>
          </cell>
          <cell r="S144">
            <v>1</v>
          </cell>
        </row>
        <row r="145">
          <cell r="C145" t="str">
            <v>DCN12019</v>
          </cell>
          <cell r="D145" t="str">
            <v>智慧磁性摺疊格柵燈12W 4000k Q系列
(停產)</v>
          </cell>
          <cell r="E145">
            <v>46268.001450000003</v>
          </cell>
          <cell r="F145">
            <v>221</v>
          </cell>
          <cell r="G145" t="str">
            <v>投射燈-7cm-單色</v>
          </cell>
          <cell r="H145" t="str">
            <v xml:space="preserve">單色溫度燈
具有「智慧調光模組軟光系列」可調光
色溫：3000k/4000k/6000k
尺寸：長220 * 寬103 * H22mm
發光角度：28°
輸入電壓 48V
材料和顏色：航空鋁和黑色
顯色指數 CRI≧90
控制方式：語音、Mixpad、場景切換、APP
</v>
          </cell>
          <cell r="I145"/>
          <cell r="J145"/>
          <cell r="K145" t="str">
            <v>顆</v>
          </cell>
          <cell r="L145">
            <v>29</v>
          </cell>
          <cell r="M145">
            <v>29</v>
          </cell>
          <cell r="N145">
            <v>29</v>
          </cell>
          <cell r="O145">
            <v>34.354799999999997</v>
          </cell>
          <cell r="P145">
            <v>0.48</v>
          </cell>
          <cell r="Q145">
            <v>0.48</v>
          </cell>
          <cell r="R145">
            <v>54</v>
          </cell>
          <cell r="S145">
            <v>1</v>
          </cell>
        </row>
        <row r="146">
          <cell r="C146" t="str">
            <v>DCN12028</v>
          </cell>
          <cell r="D146" t="str">
            <v>智慧磁性摺疊格柵燈12W 6000k Q系列
(停產)</v>
          </cell>
          <cell r="E146">
            <v>46268.001459999999</v>
          </cell>
          <cell r="F146">
            <v>222</v>
          </cell>
          <cell r="G146" t="str">
            <v>投射燈-5cm-單色</v>
          </cell>
          <cell r="H146" t="str">
            <v xml:space="preserve">單色溫度燈
具有「智慧調光模組軟光系列」可調光
色溫：3000k/4000k/6000k
尺寸：長220 * 寬103 * H22mm
發光角度：28°
輸入電壓 48V
材料和顏色：航空鋁和黑色
顯色指數 CRI≧90
控制方式：語音、Mixpad、場景切換、APP
</v>
          </cell>
          <cell r="I146"/>
          <cell r="J146"/>
          <cell r="K146" t="str">
            <v>顆</v>
          </cell>
          <cell r="L146"/>
          <cell r="M146"/>
          <cell r="N146">
            <v>0</v>
          </cell>
          <cell r="O146">
            <v>34.354799999999997</v>
          </cell>
          <cell r="P146">
            <v>0.48</v>
          </cell>
          <cell r="Q146">
            <v>0.48</v>
          </cell>
          <cell r="R146">
            <v>54</v>
          </cell>
          <cell r="S146">
            <v>1</v>
          </cell>
        </row>
        <row r="147">
          <cell r="C147" t="str">
            <v>TB-250</v>
          </cell>
          <cell r="D147" t="str">
            <v>0-10V雙色電源</v>
          </cell>
          <cell r="E147">
            <v>48.001469999999998</v>
          </cell>
          <cell r="F147">
            <v>2</v>
          </cell>
          <cell r="G147" t="str">
            <v>防眩智能射燈 S3（7W 24°）
需配置Mixpad 使用</v>
          </cell>
          <cell r="H147" t="str">
            <v>0-10V調光電源(色溫、明亮)
電源輸入100~240V
電源輸出32-50V
電流250MA
負載10W</v>
          </cell>
          <cell r="I147"/>
          <cell r="J147"/>
          <cell r="K147" t="str">
            <v>顆</v>
          </cell>
          <cell r="L147"/>
          <cell r="M147"/>
          <cell r="N147">
            <v>0</v>
          </cell>
          <cell r="O147"/>
          <cell r="P147"/>
          <cell r="Q147">
            <v>0.3</v>
          </cell>
          <cell r="R147">
            <v>33.75</v>
          </cell>
          <cell r="S147"/>
        </row>
        <row r="148">
          <cell r="C148" t="str">
            <v>DW-12W-1715</v>
          </cell>
          <cell r="D148" t="str">
            <v>崁燈-17cm-雙色</v>
          </cell>
          <cell r="E148">
            <v>44658.001479999999</v>
          </cell>
          <cell r="F148">
            <v>176</v>
          </cell>
          <cell r="G148" t="str">
            <v>防眩智能射燈 S3（7W 36°）
需配置Mixpad 使用</v>
          </cell>
          <cell r="H148" t="str">
            <v>功耗12W、電源36V、0-10V控制
燈珠12C2B
色溫2700~6500K
光通量90/lmw
CRI&gt;=80
光射角120°
外徑尺寸 175mm
開孔尺寸 150mm
不含電源</v>
          </cell>
          <cell r="I148" t="str">
            <v>開孔尺寸150mm</v>
          </cell>
          <cell r="J148"/>
          <cell r="K148" t="str">
            <v>顆</v>
          </cell>
          <cell r="L148"/>
          <cell r="M148"/>
          <cell r="N148">
            <v>0</v>
          </cell>
          <cell r="O148"/>
          <cell r="P148"/>
          <cell r="Q148">
            <v>0.3</v>
          </cell>
          <cell r="R148">
            <v>33.75</v>
          </cell>
          <cell r="S148"/>
        </row>
        <row r="149">
          <cell r="C149" t="str">
            <v>D-12W-1715</v>
          </cell>
          <cell r="D149" t="str">
            <v>崁燈-17cm-單色</v>
          </cell>
          <cell r="E149">
            <v>44658.001490000002</v>
          </cell>
          <cell r="F149">
            <v>177</v>
          </cell>
          <cell r="G149" t="str">
            <v>防眩智能射燈 S3(7W24°）開孔55mm (錆黑)
需配置Mixpad 使用</v>
          </cell>
          <cell r="H149" t="str">
            <v>功耗12W、電源36V、0-10V控制
燈珠12C2B
色溫3000、4500、6000K
光通量90/lmw
CRI&gt;=80
光射角120°
外徑尺寸 175mm
開孔尺寸 150mm
不含電源</v>
          </cell>
          <cell r="I149" t="str">
            <v>開孔尺寸150mm</v>
          </cell>
          <cell r="J149"/>
          <cell r="K149" t="str">
            <v>顆</v>
          </cell>
          <cell r="L149"/>
          <cell r="M149"/>
          <cell r="N149">
            <v>0</v>
          </cell>
          <cell r="O149"/>
          <cell r="P149"/>
          <cell r="Q149">
            <v>0.3</v>
          </cell>
          <cell r="R149">
            <v>33.75</v>
          </cell>
          <cell r="S149"/>
        </row>
        <row r="150">
          <cell r="C150" t="str">
            <v>DW-2C-D3W-7055</v>
          </cell>
          <cell r="D150" t="str">
            <v>投射燈-7cm-雙色</v>
          </cell>
          <cell r="E150">
            <v>42987.001499999998</v>
          </cell>
          <cell r="F150">
            <v>143</v>
          </cell>
          <cell r="G150" t="str">
            <v>防眩智能射燈S3(7W36°）開孔55mm (錆黑)
需配置Mixpad 使用</v>
          </cell>
          <cell r="H150" t="str">
            <v>雙色COB
功耗3W、電源9V
輸入電流250MA
色溫3000~6500K
外徑尺寸 70mm
開孔尺寸 55mm
可調角度，不含電源</v>
          </cell>
          <cell r="I150" t="str">
            <v>開孔尺寸55mm</v>
          </cell>
          <cell r="J150"/>
          <cell r="K150" t="str">
            <v>顆</v>
          </cell>
          <cell r="L150"/>
          <cell r="M150"/>
          <cell r="N150">
            <v>0</v>
          </cell>
          <cell r="O150"/>
          <cell r="P150"/>
          <cell r="Q150">
            <v>0.3</v>
          </cell>
          <cell r="R150">
            <v>33.75</v>
          </cell>
          <cell r="S150"/>
        </row>
        <row r="151">
          <cell r="C151" t="str">
            <v>DW-2C-D3W-4835</v>
          </cell>
          <cell r="D151" t="str">
            <v>投射燈-5cm-雙色</v>
          </cell>
          <cell r="E151">
            <v>42987.001510000002</v>
          </cell>
          <cell r="F151">
            <v>144</v>
          </cell>
          <cell r="G151" t="str">
            <v>防眩智能射灯S5(圆形7W24°开孔55mm</v>
          </cell>
          <cell r="H151" t="str">
            <v>迷你COB弧面、0-10V控制
功耗3W、電源9V
輸入電流250MA
色溫3000~6500K
外徑尺寸 48mm
開孔尺寸 35mm
可調角度，不含電源</v>
          </cell>
          <cell r="I151" t="str">
            <v>開孔尺寸35mm</v>
          </cell>
          <cell r="J151"/>
          <cell r="K151" t="str">
            <v>顆</v>
          </cell>
          <cell r="L151"/>
          <cell r="M151"/>
          <cell r="N151">
            <v>0</v>
          </cell>
          <cell r="O151"/>
          <cell r="P151"/>
          <cell r="Q151">
            <v>0.3</v>
          </cell>
          <cell r="R151">
            <v>33.75</v>
          </cell>
          <cell r="S151"/>
        </row>
        <row r="152">
          <cell r="C152" t="str">
            <v>D-2C-D3W-7055</v>
          </cell>
          <cell r="D152" t="str">
            <v>投射燈-7cm-單色</v>
          </cell>
          <cell r="E152">
            <v>42987.001519999998</v>
          </cell>
          <cell r="F152">
            <v>145</v>
          </cell>
          <cell r="G152" t="str">
            <v>防眩智能射灯S5(圆形7W36°开孔55mm</v>
          </cell>
          <cell r="H152" t="str">
            <v>雙色COB、0-10V控制
功耗3W、電源9V
輸入電流250MA
色溫3000、4500、6000K
外徑尺寸 70mm
開孔尺寸 55mm
可調角度</v>
          </cell>
          <cell r="I152" t="str">
            <v>開孔尺寸55mm</v>
          </cell>
          <cell r="J152"/>
          <cell r="K152" t="str">
            <v>顆</v>
          </cell>
          <cell r="L152"/>
          <cell r="M152"/>
          <cell r="N152">
            <v>0</v>
          </cell>
          <cell r="O152"/>
          <cell r="P152"/>
          <cell r="Q152">
            <v>0.3</v>
          </cell>
          <cell r="R152">
            <v>33.75</v>
          </cell>
          <cell r="S152"/>
        </row>
        <row r="153">
          <cell r="C153" t="str">
            <v>D-2C-D3W-4835</v>
          </cell>
          <cell r="D153" t="str">
            <v>投射燈-5cm-單色</v>
          </cell>
          <cell r="E153">
            <v>42987.001530000001</v>
          </cell>
          <cell r="F153">
            <v>146</v>
          </cell>
          <cell r="G153" t="str">
            <v>防眩智能射灯S5开孔55mm(白反光杯)</v>
          </cell>
          <cell r="H153" t="str">
            <v>迷你COB弧面、0-10V控制
功耗3W、電源9V
輸入電流250MA
色溫3000、4500、6000K
外徑尺寸 48mm
開孔尺寸 35mm
可調角度</v>
          </cell>
          <cell r="I153" t="str">
            <v>開孔尺寸35mm</v>
          </cell>
          <cell r="J153"/>
          <cell r="K153" t="str">
            <v>顆</v>
          </cell>
          <cell r="L153"/>
          <cell r="M153"/>
          <cell r="N153">
            <v>0</v>
          </cell>
          <cell r="O153"/>
          <cell r="P153"/>
          <cell r="Q153">
            <v>0.3</v>
          </cell>
          <cell r="R153">
            <v>33.75</v>
          </cell>
          <cell r="S153"/>
        </row>
        <row r="154">
          <cell r="C154" t="str">
            <v>DLW48326</v>
          </cell>
          <cell r="D154" t="str">
            <v>蒼芎智慧燈條(5M)</v>
          </cell>
          <cell r="E154">
            <v>47969.001539999997</v>
          </cell>
          <cell r="F154">
            <v>253</v>
          </cell>
          <cell r="G154" t="str">
            <v>固態式繼電器 10A</v>
          </cell>
          <cell r="H154" t="str">
            <v>LED燈帶尺寸：L5000mm * W14mm * H4mm 功率：DC24V 光束角度：120° 額定功率：8W/m CRI&gt;90Ra 調光：1-100% 光通量：&gt;800lm/m 顏色：RGB 1600萬色色溫範圍： 2700K-6000K 工作溫度：0℃ - 40℃</v>
          </cell>
          <cell r="I154" t="str">
            <v>需提拱110V插座</v>
          </cell>
          <cell r="J154"/>
          <cell r="K154" t="str">
            <v>組</v>
          </cell>
          <cell r="L154">
            <v>54</v>
          </cell>
          <cell r="M154">
            <v>54</v>
          </cell>
          <cell r="N154">
            <v>54</v>
          </cell>
          <cell r="O154">
            <v>58.320000000000007</v>
          </cell>
          <cell r="P154">
            <v>0.74</v>
          </cell>
          <cell r="Q154">
            <v>0.74</v>
          </cell>
          <cell r="R154">
            <v>83.25</v>
          </cell>
          <cell r="S154">
            <v>6</v>
          </cell>
        </row>
        <row r="155">
          <cell r="C155" t="str">
            <v>DLW24152</v>
          </cell>
          <cell r="D155" t="str">
            <v>蒼芎燈條1m延伸</v>
          </cell>
          <cell r="E155">
            <v>47969.001550000001</v>
          </cell>
          <cell r="F155">
            <v>254</v>
          </cell>
          <cell r="G155" t="str">
            <v>固態式繼電器 40A</v>
          </cell>
          <cell r="H155" t="str">
            <v>LED燈條尺寸：L1000mm * W14mm * H4mm（可延長至10公尺。）
顯色指數&gt;90Ra
調光：1-100%
顏色：RGB 1600萬色可選
色溫範圍：2700K-6000K
工作溫度：0℃ - 40℃</v>
          </cell>
          <cell r="I155"/>
          <cell r="J155"/>
          <cell r="K155" t="str">
            <v>條</v>
          </cell>
          <cell r="L155">
            <v>7.85</v>
          </cell>
          <cell r="M155">
            <v>8.5</v>
          </cell>
          <cell r="N155">
            <v>8.5</v>
          </cell>
          <cell r="O155">
            <v>8.4779999999999998</v>
          </cell>
          <cell r="P155">
            <v>0.12</v>
          </cell>
          <cell r="Q155">
            <v>0.12</v>
          </cell>
          <cell r="R155">
            <v>13.5</v>
          </cell>
          <cell r="S155">
            <v>1</v>
          </cell>
        </row>
        <row r="156">
          <cell r="C156" t="str">
            <v>DLW24311</v>
          </cell>
          <cell r="D156" t="str">
            <v>蒼芎智慧燈條5m延伸</v>
          </cell>
          <cell r="E156">
            <v>47969.001559999997</v>
          </cell>
          <cell r="F156">
            <v>255</v>
          </cell>
          <cell r="G156" t="str">
            <v>門窗磁感應器-ZigBee</v>
          </cell>
          <cell r="H156" t="str">
            <v>LED燈帶尺寸：L5000mm * W14mm * H4mm 功率：DC24V 光束角度：120° 額定功率：8W/m CRI&gt;90Ra 調光：1-100% 光通量：&gt;800lm/m 顏色：RGB 1600萬色色溫範圍： 2700K-6000K 工作溫度：0℃ - 40℃</v>
          </cell>
          <cell r="I156"/>
          <cell r="J156"/>
          <cell r="K156" t="str">
            <v>條</v>
          </cell>
          <cell r="L156">
            <v>35</v>
          </cell>
          <cell r="M156">
            <v>35</v>
          </cell>
          <cell r="N156">
            <v>35</v>
          </cell>
          <cell r="O156">
            <v>37.800000000000004</v>
          </cell>
          <cell r="P156">
            <v>0.4</v>
          </cell>
          <cell r="Q156">
            <v>0.4</v>
          </cell>
          <cell r="R156">
            <v>45</v>
          </cell>
          <cell r="S156">
            <v>6</v>
          </cell>
        </row>
        <row r="157">
          <cell r="C157" t="str">
            <v>DT40Z07A</v>
          </cell>
          <cell r="D157" t="str">
            <v>超薄智慧投射燈7W 24°S
1
(停產)</v>
          </cell>
          <cell r="E157">
            <v>46679.00157</v>
          </cell>
          <cell r="F157">
            <v>230</v>
          </cell>
          <cell r="G157" t="str">
            <v>美規一開Pro-白</v>
          </cell>
          <cell r="H157" t="str">
            <v>電源供應器：AC220V，50/60Hz
開孔尺寸：75~85mm
燈尺寸：96mm x 46mm
顯色指數：Ra&gt;90
光束角：24°
光通量：455 lm
功率：7瓦
色溫範圍：2700K~6000K</v>
          </cell>
          <cell r="I157" t="str">
            <v>開孔尺寸80mm</v>
          </cell>
          <cell r="J157"/>
          <cell r="K157" t="str">
            <v>顆</v>
          </cell>
          <cell r="L157">
            <v>17</v>
          </cell>
          <cell r="M157">
            <v>17</v>
          </cell>
          <cell r="N157">
            <v>17</v>
          </cell>
          <cell r="O157">
            <v>18.36</v>
          </cell>
          <cell r="P157">
            <v>0.34</v>
          </cell>
          <cell r="Q157">
            <v>0.34</v>
          </cell>
          <cell r="R157">
            <v>38.25</v>
          </cell>
          <cell r="S157">
            <v>1</v>
          </cell>
        </row>
        <row r="158">
          <cell r="C158" t="str">
            <v>DT40Z07B</v>
          </cell>
          <cell r="D158" t="str">
            <v>超薄智慧崁燈7W 105°S1
(停產)</v>
          </cell>
          <cell r="E158">
            <v>46679.001579999996</v>
          </cell>
          <cell r="F158">
            <v>231</v>
          </cell>
          <cell r="G158" t="str">
            <v>美規二開Pro-白</v>
          </cell>
          <cell r="H158" t="str">
            <v>電源供應器：AC220V，50/60Hz
開孔尺寸：75~85mm
燈尺寸：96mm x 46mm
顯色指數：Ra&gt;90
光束角：105°
光通量：420 lm
功率：7瓦
色溫範圍：2700K~6000K</v>
          </cell>
          <cell r="I158" t="str">
            <v>開孔尺寸80mm</v>
          </cell>
          <cell r="J158"/>
          <cell r="K158" t="str">
            <v>顆</v>
          </cell>
          <cell r="L158">
            <v>15</v>
          </cell>
          <cell r="M158">
            <v>15</v>
          </cell>
          <cell r="N158">
            <v>15</v>
          </cell>
          <cell r="O158">
            <v>16.200000000000003</v>
          </cell>
          <cell r="P158">
            <v>0.36</v>
          </cell>
          <cell r="Q158">
            <v>0.36</v>
          </cell>
          <cell r="R158">
            <v>40.5</v>
          </cell>
          <cell r="S158">
            <v>1</v>
          </cell>
        </row>
        <row r="159">
          <cell r="C159" t="str">
            <v>DSZ07183</v>
          </cell>
          <cell r="D159" t="str">
            <v>SOPRO 投射燈-圓形-7W15°
(停產)</v>
          </cell>
          <cell r="E159">
            <v>83.001589999999993</v>
          </cell>
          <cell r="F159">
            <v>67</v>
          </cell>
          <cell r="G159" t="str">
            <v>美規三開Pro-白</v>
          </cell>
          <cell r="H159" t="str">
            <v>開孔尺寸：φ55mm
尺寸：φ67* H77mm
表面：黑色、白色
顯色指數（CRI）：Ra&gt;95
統一眩光等級（UGR）：UGR&lt;9
光束角度：15°
功率：7W
光通量：&gt;350lm
色溫範圍：2700K~6000K
調光：PWM數位調光
調光頻率：3.84kHz</v>
          </cell>
          <cell r="I159" t="str">
            <v>開孔尺寸55mm</v>
          </cell>
          <cell r="J159"/>
          <cell r="K159" t="str">
            <v>顆</v>
          </cell>
          <cell r="L159">
            <v>28.77</v>
          </cell>
          <cell r="M159">
            <v>38</v>
          </cell>
          <cell r="N159">
            <v>38</v>
          </cell>
          <cell r="O159">
            <v>31.0716</v>
          </cell>
          <cell r="P159">
            <v>0.36</v>
          </cell>
          <cell r="Q159">
            <v>0.36</v>
          </cell>
          <cell r="R159">
            <v>40.5</v>
          </cell>
          <cell r="S159">
            <v>1</v>
          </cell>
        </row>
        <row r="160">
          <cell r="C160" t="str">
            <v>DSZ07184</v>
          </cell>
          <cell r="D160" t="str">
            <v>SOPRO 投射燈-圓形-7W24°
(停產)</v>
          </cell>
          <cell r="E160">
            <v>83.001599999999996</v>
          </cell>
          <cell r="F160">
            <v>68</v>
          </cell>
          <cell r="G160" t="str">
            <v>美規情景開關Pro-白
(預計2025年7月停產)</v>
          </cell>
          <cell r="H160" t="str">
            <v>開孔尺寸：φ55mm
尺寸：φ67* H77mm
表面：黑色、白色
顯色指數（CRI）：Ra&gt;95
統一眩光等級（UGR）：UGR&lt;9
光束角度：24°
功率：7W
光通量：&gt;350lm
色溫範圍：2700K~6000K
調光：PWM數位調光
調光頻率：3.84kHz</v>
          </cell>
          <cell r="I160" t="str">
            <v>開孔尺寸55mm</v>
          </cell>
          <cell r="J160"/>
          <cell r="K160" t="str">
            <v>顆</v>
          </cell>
          <cell r="L160">
            <v>28.77</v>
          </cell>
          <cell r="M160">
            <v>38</v>
          </cell>
          <cell r="N160">
            <v>38</v>
          </cell>
          <cell r="O160">
            <v>31.0716</v>
          </cell>
          <cell r="P160">
            <v>0.39600000000000002</v>
          </cell>
          <cell r="Q160">
            <v>0.39600000000000002</v>
          </cell>
          <cell r="R160">
            <v>44.550000000000004</v>
          </cell>
          <cell r="S160">
            <v>1</v>
          </cell>
        </row>
        <row r="161">
          <cell r="C161" t="str">
            <v>DSZ07185</v>
          </cell>
          <cell r="D161" t="str">
            <v>SOPRO 投射燈-圓形-7W36°
(停產)</v>
          </cell>
          <cell r="E161">
            <v>83.001609999999999</v>
          </cell>
          <cell r="F161">
            <v>69</v>
          </cell>
          <cell r="G161" t="str">
            <v>美規一開Pro-黑</v>
          </cell>
          <cell r="H161" t="str">
            <v>開孔尺寸：φ55mm
尺寸：φ67* H77mm
表面：黑色、白色
顯色指數（CRI）：Ra&gt;95
統一眩光等級（UGR）：UGR&lt;9
光束角度：36°
功率：7W
光通量：&gt;350lm
色溫範圍：2700K~6000K
調光：PWM數位調光
調光頻率：3.84kHz</v>
          </cell>
          <cell r="I161" t="str">
            <v>開孔尺寸55mm</v>
          </cell>
          <cell r="J161"/>
          <cell r="K161" t="str">
            <v>顆</v>
          </cell>
          <cell r="L161">
            <v>28.77</v>
          </cell>
          <cell r="M161">
            <v>38</v>
          </cell>
          <cell r="N161">
            <v>38</v>
          </cell>
          <cell r="O161">
            <v>31.0716</v>
          </cell>
          <cell r="P161">
            <v>0.39600000000000002</v>
          </cell>
          <cell r="Q161">
            <v>0.39600000000000002</v>
          </cell>
          <cell r="R161">
            <v>44.550000000000004</v>
          </cell>
          <cell r="S161">
            <v>1</v>
          </cell>
        </row>
        <row r="162">
          <cell r="C162" t="str">
            <v>DSZ12186</v>
          </cell>
          <cell r="D162" t="str">
            <v>SOPRO 投射燈-圓形-12W15°
(停產)</v>
          </cell>
          <cell r="E162">
            <v>83.001620000000003</v>
          </cell>
          <cell r="F162">
            <v>70</v>
          </cell>
          <cell r="G162" t="str">
            <v>美規二開Pro-黑</v>
          </cell>
          <cell r="H162" t="str">
            <v>開孔尺寸：φ75mm
尺寸：φ85* H103mm
表面：黑色、白色
顯色指數（CRI）：Ra&gt;95
統一眩光等級（UGR）：UGR&lt;9
光束角度：15°
功率：12W
光通量：&gt;600lm
色溫範圍：2700K~6000K
調光：PWM數位調光
調光頻率：3.84kHz</v>
          </cell>
          <cell r="I162" t="str">
            <v>開孔尺寸75mm</v>
          </cell>
          <cell r="J162"/>
          <cell r="K162" t="str">
            <v>顆</v>
          </cell>
          <cell r="L162">
            <v>33.85</v>
          </cell>
          <cell r="M162">
            <v>47</v>
          </cell>
          <cell r="N162">
            <v>47</v>
          </cell>
          <cell r="O162">
            <v>36.558000000000007</v>
          </cell>
          <cell r="P162">
            <v>0.55000000000000004</v>
          </cell>
          <cell r="Q162">
            <v>0.55000000000000004</v>
          </cell>
          <cell r="R162">
            <v>61.875000000000007</v>
          </cell>
          <cell r="S162">
            <v>1</v>
          </cell>
        </row>
        <row r="163">
          <cell r="C163" t="str">
            <v>DSZ12187</v>
          </cell>
          <cell r="D163" t="str">
            <v>SOPRO 投射燈-圓形-12W24°
(停產)</v>
          </cell>
          <cell r="E163">
            <v>83.001630000000006</v>
          </cell>
          <cell r="F163">
            <v>71</v>
          </cell>
          <cell r="G163" t="str">
            <v>美規三開Pro-黑</v>
          </cell>
          <cell r="H163" t="str">
            <v>開孔尺寸：φ75mm
尺寸：φ85* H103mm
表面：黑色、白色
顯色指數（CRI）：Ra&gt;95
統一眩光等級（UGR）：UGR&lt;9
光束角度：24°
功率：12W
光通量：&gt;600lm
色溫範圍：2700K~6000K
調光：PWM數位調光
調光頻率：3.84kHz</v>
          </cell>
          <cell r="I163" t="str">
            <v>開孔尺寸75mm</v>
          </cell>
          <cell r="J163"/>
          <cell r="K163" t="str">
            <v>顆</v>
          </cell>
          <cell r="L163">
            <v>33.85</v>
          </cell>
          <cell r="M163">
            <v>47</v>
          </cell>
          <cell r="N163">
            <v>47</v>
          </cell>
          <cell r="O163">
            <v>36.558000000000007</v>
          </cell>
          <cell r="P163">
            <v>0.57999999999999996</v>
          </cell>
          <cell r="Q163">
            <v>0.57999999999999996</v>
          </cell>
          <cell r="R163">
            <v>65.249999999999986</v>
          </cell>
          <cell r="S163">
            <v>1</v>
          </cell>
        </row>
        <row r="164">
          <cell r="C164" t="str">
            <v>DSZ12188</v>
          </cell>
          <cell r="D164" t="str">
            <v>SOPRO 投射燈-圓形-12W36°
(停產)</v>
          </cell>
          <cell r="E164">
            <v>83.001639999999995</v>
          </cell>
          <cell r="F164">
            <v>72</v>
          </cell>
          <cell r="G164" t="str">
            <v>美規情景開關Pro-黑
(預計2025年7月停產)</v>
          </cell>
          <cell r="H164" t="str">
            <v>開孔尺寸：φ75mm
尺寸：φ85* H103mm
表面：黑色、白色
顯色指數（CRI）：Ra&gt;95
統一眩光等級（UGR）：UGR&lt;9
光束角度：36°
功率：12W
光通量：&gt;600lm
色溫範圍：2700K~6000K
調光：PWM數位調光
調光頻率：3.84kHz</v>
          </cell>
          <cell r="I164" t="str">
            <v>開孔尺寸75mm</v>
          </cell>
          <cell r="J164"/>
          <cell r="K164" t="str">
            <v>顆</v>
          </cell>
          <cell r="L164">
            <v>33.85</v>
          </cell>
          <cell r="M164">
            <v>47</v>
          </cell>
          <cell r="N164">
            <v>47</v>
          </cell>
          <cell r="O164">
            <v>36.558000000000007</v>
          </cell>
          <cell r="P164">
            <v>0.57999999999999996</v>
          </cell>
          <cell r="Q164">
            <v>0.57999999999999996</v>
          </cell>
          <cell r="R164">
            <v>65.249999999999986</v>
          </cell>
          <cell r="S164">
            <v>1</v>
          </cell>
        </row>
        <row r="165">
          <cell r="C165" t="str">
            <v xml:space="preserve"> DSN09462</v>
          </cell>
          <cell r="D165" t="str">
            <v>高斯深防眩射燈Q10(9W 24°4000K)</v>
          </cell>
          <cell r="E165">
            <v>45226.001649999998</v>
          </cell>
          <cell r="F165">
            <v>182</v>
          </cell>
          <cell r="G165" t="str">
            <v>美規一開開關-白
(停產)</v>
          </cell>
          <cell r="H165"/>
          <cell r="I165"/>
          <cell r="J165"/>
          <cell r="K165" t="str">
            <v>顆</v>
          </cell>
          <cell r="L165">
            <v>6</v>
          </cell>
          <cell r="M165">
            <v>6</v>
          </cell>
          <cell r="N165">
            <v>6</v>
          </cell>
          <cell r="O165">
            <v>6.48</v>
          </cell>
          <cell r="P165"/>
          <cell r="Q165">
            <v>0.3</v>
          </cell>
          <cell r="R165">
            <v>33.75</v>
          </cell>
          <cell r="S165">
            <v>6</v>
          </cell>
        </row>
        <row r="166">
          <cell r="C166" t="str">
            <v xml:space="preserve"> DSN09463</v>
          </cell>
          <cell r="D166" t="str">
            <v>高斯深防眩射燈Q10(9W 36°4000K)</v>
          </cell>
          <cell r="E166">
            <v>45226.001660000002</v>
          </cell>
          <cell r="F166">
            <v>183</v>
          </cell>
          <cell r="G166" t="str">
            <v>美規二開開關-白
(停產)</v>
          </cell>
          <cell r="H166"/>
          <cell r="I166"/>
          <cell r="J166"/>
          <cell r="K166" t="str">
            <v>顆</v>
          </cell>
          <cell r="L166">
            <v>6</v>
          </cell>
          <cell r="M166">
            <v>6</v>
          </cell>
          <cell r="N166">
            <v>6</v>
          </cell>
          <cell r="O166">
            <v>6.48</v>
          </cell>
          <cell r="P166"/>
          <cell r="Q166">
            <v>0.3</v>
          </cell>
          <cell r="R166">
            <v>33.75</v>
          </cell>
          <cell r="S166">
            <v>6</v>
          </cell>
        </row>
        <row r="167">
          <cell r="C167" t="str">
            <v>ST-AL-L1307</v>
          </cell>
          <cell r="D167" t="str">
            <v>鋁槽-12mm</v>
          </cell>
          <cell r="E167">
            <v>48724.001669999998</v>
          </cell>
          <cell r="F167">
            <v>262</v>
          </cell>
          <cell r="G167" t="str">
            <v>美規三開開關-白
(停產)</v>
          </cell>
          <cell r="H167" t="str">
            <v>12mm燈條鋁槽
寬度13mm
高度7mm
含PC罩</v>
          </cell>
          <cell r="I167"/>
          <cell r="J167"/>
          <cell r="K167" t="str">
            <v>米</v>
          </cell>
          <cell r="L167"/>
          <cell r="M167"/>
          <cell r="N167">
            <v>0</v>
          </cell>
          <cell r="O167"/>
          <cell r="P167"/>
          <cell r="Q167">
            <v>0.3</v>
          </cell>
          <cell r="R167">
            <v>33.75</v>
          </cell>
          <cell r="S167"/>
        </row>
        <row r="168">
          <cell r="C168" t="str">
            <v>DM010-12W</v>
          </cell>
          <cell r="D168" t="str">
            <v>0-10V 單色電源</v>
          </cell>
          <cell r="E168">
            <v>48.00168</v>
          </cell>
          <cell r="F168">
            <v>3</v>
          </cell>
          <cell r="G168" t="str">
            <v>美規情境開關-白
(停產)</v>
          </cell>
          <cell r="H168" t="str">
            <v>0-10V調光電源
電源輸入85~265V
電源輸出9-42V
電流300MA</v>
          </cell>
          <cell r="I168"/>
          <cell r="J168"/>
          <cell r="K168" t="str">
            <v>顆</v>
          </cell>
          <cell r="L168"/>
          <cell r="M168"/>
          <cell r="N168">
            <v>0</v>
          </cell>
          <cell r="O168"/>
          <cell r="P168"/>
          <cell r="Q168">
            <v>0.3</v>
          </cell>
          <cell r="R168">
            <v>33.75</v>
          </cell>
          <cell r="S168"/>
        </row>
        <row r="169">
          <cell r="C169" t="str">
            <v>LED-WC</v>
          </cell>
          <cell r="D169" t="str">
            <v>LED 色溫燈條</v>
          </cell>
          <cell r="E169">
            <v>76.001689999999996</v>
          </cell>
          <cell r="F169">
            <v>19</v>
          </cell>
          <cell r="G169" t="str">
            <v>美規一開開關-黑
(停產)</v>
          </cell>
          <cell r="H169" t="str">
            <v>色溫:3000~6500K
工作電壓:12V
LED:60燈/米
功率:7.5W/米
寬度:12mm
發光角度：120°
規格:5m/卷</v>
          </cell>
          <cell r="I169"/>
          <cell r="J169"/>
          <cell r="K169" t="str">
            <v>米</v>
          </cell>
          <cell r="L169">
            <v>4.5</v>
          </cell>
          <cell r="M169"/>
          <cell r="N169">
            <v>4.5</v>
          </cell>
          <cell r="O169">
            <v>4.8600000000000003</v>
          </cell>
          <cell r="P169"/>
          <cell r="Q169">
            <v>0.3</v>
          </cell>
          <cell r="R169">
            <v>33.75</v>
          </cell>
          <cell r="S169">
            <v>1</v>
          </cell>
        </row>
        <row r="170">
          <cell r="C170" t="str">
            <v>LED-RGB</v>
          </cell>
          <cell r="D170" t="str">
            <v>LED RGB 三色燈條</v>
          </cell>
          <cell r="E170">
            <v>76.0017</v>
          </cell>
          <cell r="F170">
            <v>20</v>
          </cell>
          <cell r="G170" t="str">
            <v>美規二開開關-黑
(停產)</v>
          </cell>
          <cell r="H170" t="str">
            <v>色溫:R/G/B
工作電壓:12V
LED:60燈/米
功率:9W/米
寬度:12mm
發光角度：120°
規格:5m/卷</v>
          </cell>
          <cell r="I170"/>
          <cell r="J170"/>
          <cell r="K170" t="str">
            <v>米</v>
          </cell>
          <cell r="L170">
            <v>7.5</v>
          </cell>
          <cell r="M170"/>
          <cell r="N170">
            <v>7.5</v>
          </cell>
          <cell r="O170">
            <v>8.1000000000000014</v>
          </cell>
          <cell r="P170"/>
          <cell r="Q170">
            <v>0.3</v>
          </cell>
          <cell r="R170">
            <v>33.75</v>
          </cell>
          <cell r="S170">
            <v>1</v>
          </cell>
        </row>
        <row r="171">
          <cell r="C171" t="str">
            <v>RGBW</v>
          </cell>
          <cell r="D171" t="str">
            <v>LED RGBW 四色燈條</v>
          </cell>
          <cell r="E171">
            <v>76.001710000000003</v>
          </cell>
          <cell r="F171">
            <v>21</v>
          </cell>
          <cell r="G171" t="str">
            <v>美規三開開關-黑
(停產)</v>
          </cell>
          <cell r="H171" t="str">
            <v>色溫:R/G/B/W
工作電壓:24V
LED:60燈/米
功率:14.4W/米
寬度:12mm
發光角度：120°
規格:5m/卷</v>
          </cell>
          <cell r="I171"/>
          <cell r="J171"/>
          <cell r="K171" t="str">
            <v>米</v>
          </cell>
          <cell r="L171">
            <v>10</v>
          </cell>
          <cell r="M171"/>
          <cell r="N171">
            <v>10</v>
          </cell>
          <cell r="O171">
            <v>10.8</v>
          </cell>
          <cell r="P171"/>
          <cell r="Q171">
            <v>0.3</v>
          </cell>
          <cell r="R171">
            <v>33.75</v>
          </cell>
          <cell r="S171">
            <v>1</v>
          </cell>
        </row>
        <row r="172">
          <cell r="C172" t="str">
            <v>RGBWC</v>
          </cell>
          <cell r="D172" t="str">
            <v>LED RGBWC 五色燈條</v>
          </cell>
          <cell r="E172">
            <v>76.001720000000006</v>
          </cell>
          <cell r="F172">
            <v>22</v>
          </cell>
          <cell r="G172" t="str">
            <v>美規情境開關-黑
(停產)</v>
          </cell>
          <cell r="H172" t="str">
            <v>色溫:3000~6500k/R/G/B
工作電壓:24V
LED:60燈/米
功率:16W/米
寬度:12mm
發光角度：120°
規格:5m/卷</v>
          </cell>
          <cell r="I172"/>
          <cell r="J172"/>
          <cell r="K172" t="str">
            <v>米</v>
          </cell>
          <cell r="L172">
            <v>12</v>
          </cell>
          <cell r="M172"/>
          <cell r="N172">
            <v>12</v>
          </cell>
          <cell r="O172">
            <v>12.96</v>
          </cell>
          <cell r="P172"/>
          <cell r="Q172">
            <v>0.3</v>
          </cell>
          <cell r="R172">
            <v>33.75</v>
          </cell>
          <cell r="S172">
            <v>1</v>
          </cell>
        </row>
        <row r="173">
          <cell r="C173" t="str">
            <v>PARGBWC</v>
          </cell>
          <cell r="D173" t="str">
            <v>燈條功率放大器50A</v>
          </cell>
          <cell r="E173">
            <v>48975.001730000004</v>
          </cell>
          <cell r="F173">
            <v>263</v>
          </cell>
          <cell r="G173" t="str">
            <v>美規面板-白/黑
(停產)</v>
          </cell>
          <cell r="H173" t="str">
            <v>色溫:3000~6500k/R/G/B
工作電壓:5V~24V
功率: Max 50A
寬度:12mm</v>
          </cell>
          <cell r="I173"/>
          <cell r="J173"/>
          <cell r="K173" t="str">
            <v>顆</v>
          </cell>
          <cell r="L173">
            <v>12</v>
          </cell>
          <cell r="M173"/>
          <cell r="N173">
            <v>12</v>
          </cell>
          <cell r="O173">
            <v>12.96</v>
          </cell>
          <cell r="P173"/>
          <cell r="Q173">
            <v>0.3</v>
          </cell>
          <cell r="R173">
            <v>33.75</v>
          </cell>
          <cell r="S173">
            <v>1</v>
          </cell>
        </row>
        <row r="174">
          <cell r="C174" t="str">
            <v>LED-P-12-80</v>
          </cell>
          <cell r="D174" t="str">
            <v>LED 燈變壓器12V 80W</v>
          </cell>
          <cell r="E174">
            <v>76.001739999999998</v>
          </cell>
          <cell r="F174">
            <v>23</v>
          </cell>
          <cell r="G174" t="str">
            <v>射頻控制器-WiFi版
(停產)</v>
          </cell>
          <cell r="H174" t="str">
            <v>輸入電壓:110~220V
輸出電壓:12V、5A
功率:80W
(5米內燈條使用)</v>
          </cell>
          <cell r="I174"/>
          <cell r="J174"/>
          <cell r="K174" t="str">
            <v>顆</v>
          </cell>
          <cell r="L174">
            <v>8</v>
          </cell>
          <cell r="M174"/>
          <cell r="N174">
            <v>8</v>
          </cell>
          <cell r="O174">
            <v>8.64</v>
          </cell>
          <cell r="P174"/>
          <cell r="Q174">
            <v>0.6</v>
          </cell>
          <cell r="R174">
            <v>67.5</v>
          </cell>
          <cell r="S174">
            <v>1</v>
          </cell>
        </row>
        <row r="175">
          <cell r="C175" t="str">
            <v>LED-P-12-250</v>
          </cell>
          <cell r="D175" t="str">
            <v>LED 燈變壓器12V 250W</v>
          </cell>
          <cell r="E175">
            <v>76.001750000000001</v>
          </cell>
          <cell r="F175">
            <v>24</v>
          </cell>
          <cell r="G175" t="str">
            <v>崁燈-80
(ZigBee)
(停產)</v>
          </cell>
          <cell r="H175" t="str">
            <v>輸入電壓:110~220V
輸出電壓:12V、20A
功率:250W
(15米內燈條使用)</v>
          </cell>
          <cell r="I175"/>
          <cell r="J175"/>
          <cell r="K175" t="str">
            <v>顆</v>
          </cell>
          <cell r="L175">
            <v>11.5</v>
          </cell>
          <cell r="M175"/>
          <cell r="N175">
            <v>11.5</v>
          </cell>
          <cell r="O175">
            <v>12.420000000000002</v>
          </cell>
          <cell r="P175"/>
          <cell r="Q175">
            <v>0.6</v>
          </cell>
          <cell r="R175">
            <v>67.5</v>
          </cell>
          <cell r="S175">
            <v>1</v>
          </cell>
        </row>
        <row r="176">
          <cell r="C176" t="str">
            <v>LED-P-12-500</v>
          </cell>
          <cell r="D176" t="str">
            <v>LED 燈變壓器12V 500W</v>
          </cell>
          <cell r="E176">
            <v>76.001760000000004</v>
          </cell>
          <cell r="F176">
            <v>25</v>
          </cell>
          <cell r="G176" t="str">
            <v>崁燈-17cm-雙色</v>
          </cell>
          <cell r="H176" t="str">
            <v>輸入電壓:110~220V
輸出電壓:12V、40A
功率:500W
(30米內燈條使用)</v>
          </cell>
          <cell r="I176"/>
          <cell r="J176"/>
          <cell r="K176" t="str">
            <v>顆</v>
          </cell>
          <cell r="L176">
            <v>15</v>
          </cell>
          <cell r="M176"/>
          <cell r="N176">
            <v>15</v>
          </cell>
          <cell r="O176">
            <v>16.200000000000003</v>
          </cell>
          <cell r="P176"/>
          <cell r="Q176">
            <v>0.6</v>
          </cell>
          <cell r="R176">
            <v>67.5</v>
          </cell>
          <cell r="S176">
            <v>1</v>
          </cell>
        </row>
        <row r="177">
          <cell r="C177" t="str">
            <v>LED-P-24-100</v>
          </cell>
          <cell r="D177" t="str">
            <v>LED 燈變壓器24V 100W</v>
          </cell>
          <cell r="E177">
            <v>76.001769999999993</v>
          </cell>
          <cell r="F177">
            <v>26</v>
          </cell>
          <cell r="G177" t="str">
            <v>崁燈-17cm-單色</v>
          </cell>
          <cell r="H177" t="str">
            <v>輸入電壓:110~220V
輸出電壓:24V、4.2A
功率:100W
(5米內燈條使用)</v>
          </cell>
          <cell r="I177"/>
          <cell r="J177"/>
          <cell r="K177" t="str">
            <v>顆</v>
          </cell>
          <cell r="L177">
            <v>8</v>
          </cell>
          <cell r="M177"/>
          <cell r="N177">
            <v>8</v>
          </cell>
          <cell r="O177">
            <v>8.64</v>
          </cell>
          <cell r="P177"/>
          <cell r="Q177">
            <v>0.6</v>
          </cell>
          <cell r="R177">
            <v>67.5</v>
          </cell>
          <cell r="S177">
            <v>1</v>
          </cell>
        </row>
        <row r="178">
          <cell r="C178" t="str">
            <v>LED-P-24-250</v>
          </cell>
          <cell r="D178" t="str">
            <v>LED 燈變壓器24V 250W</v>
          </cell>
          <cell r="E178">
            <v>76.001779999999997</v>
          </cell>
          <cell r="F178">
            <v>27</v>
          </cell>
          <cell r="G178" t="str">
            <v>浸水感應器-ZigBee</v>
          </cell>
          <cell r="H178" t="str">
            <v>輸入電壓:110~220V
輸出電壓:24V、10A
功率:250W
(15米內燈條使用)</v>
          </cell>
          <cell r="I178"/>
          <cell r="J178"/>
          <cell r="K178" t="str">
            <v>顆</v>
          </cell>
          <cell r="L178">
            <v>11.5</v>
          </cell>
          <cell r="M178"/>
          <cell r="N178">
            <v>11.5</v>
          </cell>
          <cell r="O178">
            <v>12.420000000000002</v>
          </cell>
          <cell r="P178"/>
          <cell r="Q178">
            <v>0.6</v>
          </cell>
          <cell r="R178">
            <v>67.5</v>
          </cell>
          <cell r="S178">
            <v>1</v>
          </cell>
        </row>
        <row r="179">
          <cell r="C179" t="str">
            <v>LED-P-24-500</v>
          </cell>
          <cell r="D179" t="str">
            <v>LED 燈變壓器24V 500W</v>
          </cell>
          <cell r="E179">
            <v>76.00179</v>
          </cell>
          <cell r="F179">
            <v>28</v>
          </cell>
          <cell r="G179" t="str">
            <v>高斯智能開關 MixSwitch Gauss(一切灰色)</v>
          </cell>
          <cell r="H179" t="str">
            <v>輸入電壓:110~220V
輸出電壓:24V、20A
功率:500W
(30米內燈條使用)</v>
          </cell>
          <cell r="I179"/>
          <cell r="J179"/>
          <cell r="K179" t="str">
            <v>顆</v>
          </cell>
          <cell r="L179">
            <v>15</v>
          </cell>
          <cell r="M179"/>
          <cell r="N179">
            <v>15</v>
          </cell>
          <cell r="O179">
            <v>16.200000000000003</v>
          </cell>
          <cell r="P179"/>
          <cell r="Q179">
            <v>0.6</v>
          </cell>
          <cell r="R179">
            <v>67.5</v>
          </cell>
          <cell r="S179">
            <v>1</v>
          </cell>
        </row>
        <row r="180">
          <cell r="C180" t="str">
            <v>LED-P-48-350</v>
          </cell>
          <cell r="D180" t="str">
            <v>LED 燈變壓器48V 350W</v>
          </cell>
          <cell r="E180">
            <v>76.001800000000003</v>
          </cell>
          <cell r="F180">
            <v>29</v>
          </cell>
          <cell r="G180" t="str">
            <v>高斯智能開關 MixSwitch Gauss(二切灰色)</v>
          </cell>
          <cell r="H180" t="str">
            <v>輸入電壓:110~220V
輸出電壓:48V、7A
功率:250W</v>
          </cell>
          <cell r="I180"/>
          <cell r="J180"/>
          <cell r="K180" t="str">
            <v>顆</v>
          </cell>
          <cell r="L180"/>
          <cell r="M180"/>
          <cell r="N180">
            <v>0</v>
          </cell>
          <cell r="O180"/>
          <cell r="P180"/>
          <cell r="Q180">
            <v>0.6</v>
          </cell>
          <cell r="R180">
            <v>67.5</v>
          </cell>
          <cell r="S180"/>
        </row>
        <row r="181">
          <cell r="C181" t="str">
            <v>LED-P-48-1500</v>
          </cell>
          <cell r="D181" t="str">
            <v>LED 燈變壓器48V 1500W</v>
          </cell>
          <cell r="E181">
            <v>76.001810000000006</v>
          </cell>
          <cell r="F181">
            <v>30</v>
          </cell>
          <cell r="G181" t="str">
            <v>高斯智能開關 MixSwitch Gauss(三切灰色)</v>
          </cell>
          <cell r="H181" t="str">
            <v>輸入電壓:110~220V
輸出電壓:48V、31A
功率:1500W</v>
          </cell>
          <cell r="I181"/>
          <cell r="J181"/>
          <cell r="K181" t="str">
            <v>顆</v>
          </cell>
          <cell r="L181"/>
          <cell r="M181"/>
          <cell r="N181">
            <v>0</v>
          </cell>
          <cell r="O181"/>
          <cell r="P181"/>
          <cell r="Q181">
            <v>0.6</v>
          </cell>
          <cell r="R181">
            <v>67.5</v>
          </cell>
          <cell r="S181"/>
        </row>
        <row r="182">
          <cell r="C182" t="str">
            <v>CT20Z-B1GO</v>
          </cell>
          <cell r="D182" t="str">
            <v>Zigbee-IR遙控器</v>
          </cell>
          <cell r="E182">
            <v>90.001819999999995</v>
          </cell>
          <cell r="F182">
            <v>127</v>
          </cell>
          <cell r="G182" t="str">
            <v>高斯深防眩射燈Q10(9W 24°4000K)</v>
          </cell>
          <cell r="H182" t="str">
            <v>電源：DC5V，1A，微型USB
尺寸：Φ110* 31mm
無線協議：zigbee
紅外頻率：2.4GHz
工作溫度：-20〜55℃
控制紅外設備。
支援學習功能。無內建紅外線內碼。</v>
          </cell>
          <cell r="I182"/>
          <cell r="J182"/>
          <cell r="K182" t="str">
            <v>顆</v>
          </cell>
          <cell r="L182">
            <v>25.85</v>
          </cell>
          <cell r="M182"/>
          <cell r="N182">
            <v>25.85</v>
          </cell>
          <cell r="O182">
            <v>27.918000000000003</v>
          </cell>
          <cell r="P182">
            <v>0.31</v>
          </cell>
          <cell r="Q182">
            <v>0.31</v>
          </cell>
          <cell r="R182">
            <v>34.875</v>
          </cell>
          <cell r="S182">
            <v>1</v>
          </cell>
        </row>
        <row r="183">
          <cell r="C183" t="str">
            <v>T54W3W</v>
          </cell>
          <cell r="D183" t="str">
            <v>Mixpad 精靈
（零火版）白色（不帶閘道）</v>
          </cell>
          <cell r="E183">
            <v>77.001829999999998</v>
          </cell>
          <cell r="F183">
            <v>56</v>
          </cell>
          <cell r="G183" t="str">
            <v>高斯深防眩射燈Q10(9W 36°4000K)</v>
          </cell>
          <cell r="H183" t="str">
            <v>電源輸入1: Type-C, 5V - 1A 
電源輸入2：110V電源插座(內建插入式插頭)
顏色 : 灰 / 白
通訊協議：藍芽、ZigBee、WiFi與IR (此版本暫時限定品牌，無法複製內碼)
語系：部分繁中/部分簡中</v>
          </cell>
          <cell r="I183"/>
          <cell r="J183"/>
          <cell r="K183" t="str">
            <v>顆</v>
          </cell>
          <cell r="L183">
            <v>59.71</v>
          </cell>
          <cell r="M183">
            <v>41.142857142857103</v>
          </cell>
          <cell r="N183">
            <v>41.142857142857103</v>
          </cell>
          <cell r="O183">
            <v>64.486800000000002</v>
          </cell>
          <cell r="P183"/>
          <cell r="Q183">
            <v>0.6</v>
          </cell>
          <cell r="R183">
            <v>67.5</v>
          </cell>
          <cell r="S183">
            <v>2</v>
          </cell>
        </row>
        <row r="184">
          <cell r="C184" t="str">
            <v>W10</v>
          </cell>
          <cell r="D184" t="str">
            <v>電動窗簾馬達與軌道
含3米內軌道
(停產)</v>
          </cell>
          <cell r="E184">
            <v>47473.001839999997</v>
          </cell>
          <cell r="F184">
            <v>239</v>
          </cell>
          <cell r="G184" t="str">
            <v>高斯系列2代智能开关(一开灰)</v>
          </cell>
          <cell r="H184" t="str">
            <v>尺寸：40*40*320mm
電源供應器：AC100-240V 50/60Hz
無線協定：Wi-Fi
窗簾桿長度：1.7M-3M</v>
          </cell>
          <cell r="I184" t="str">
            <v>需提供110V插座</v>
          </cell>
          <cell r="J184"/>
          <cell r="K184" t="str">
            <v>組</v>
          </cell>
          <cell r="L184">
            <v>38</v>
          </cell>
          <cell r="M184">
            <v>38</v>
          </cell>
          <cell r="N184">
            <v>38</v>
          </cell>
          <cell r="O184">
            <v>41.040000000000006</v>
          </cell>
          <cell r="P184">
            <v>0.94</v>
          </cell>
          <cell r="Q184">
            <v>0.94</v>
          </cell>
          <cell r="R184">
            <v>105.75</v>
          </cell>
          <cell r="S184">
            <v>7</v>
          </cell>
        </row>
        <row r="185">
          <cell r="C185" t="str">
            <v>C20WZ</v>
          </cell>
          <cell r="D185" t="str">
            <v>精靈超靜音智慧窗簾電機（含遙控器）</v>
          </cell>
          <cell r="E185">
            <v>47851.001850000001</v>
          </cell>
          <cell r="F185">
            <v>252</v>
          </cell>
          <cell r="G185" t="str">
            <v>高斯系列2代智能开关(二开灰)</v>
          </cell>
          <cell r="H185" t="str">
            <v>尺寸：53*270mm
電源供應器：AC100-240V 50/60Hz
無線協定：Wi-Fi
窗簾桿長度：1.7M-4M
(含3米內軌道)</v>
          </cell>
          <cell r="I185" t="str">
            <v>需提供110V插座</v>
          </cell>
          <cell r="J185"/>
          <cell r="K185" t="str">
            <v>組</v>
          </cell>
          <cell r="L185">
            <v>39</v>
          </cell>
          <cell r="M185">
            <v>67</v>
          </cell>
          <cell r="N185">
            <v>67</v>
          </cell>
          <cell r="O185">
            <v>42.120000000000005</v>
          </cell>
          <cell r="P185"/>
          <cell r="Q185">
            <v>0.6</v>
          </cell>
          <cell r="R185">
            <v>67.5</v>
          </cell>
          <cell r="S185">
            <v>7</v>
          </cell>
        </row>
        <row r="186">
          <cell r="C186" t="str">
            <v>W10-T</v>
          </cell>
          <cell r="D186" t="str">
            <v>電動窗臉軌道</v>
          </cell>
          <cell r="E186">
            <v>47473.001859999997</v>
          </cell>
          <cell r="F186">
            <v>240</v>
          </cell>
          <cell r="G186" t="str">
            <v>高斯系列2代智能开关(三开灰)</v>
          </cell>
          <cell r="H186" t="str">
            <v>10尺軌道以上</v>
          </cell>
          <cell r="I186"/>
          <cell r="J186"/>
          <cell r="K186" t="str">
            <v>呎</v>
          </cell>
          <cell r="L186"/>
          <cell r="M186"/>
          <cell r="N186">
            <v>0</v>
          </cell>
          <cell r="O186"/>
          <cell r="P186"/>
          <cell r="Q186">
            <v>2</v>
          </cell>
          <cell r="R186">
            <v>225</v>
          </cell>
          <cell r="S186"/>
        </row>
        <row r="187">
          <cell r="C187" t="str">
            <v>CK12</v>
          </cell>
          <cell r="D187" t="str">
            <v>夢幻簾電動窗簾馬達</v>
          </cell>
          <cell r="E187">
            <v>47578.00187</v>
          </cell>
          <cell r="F187">
            <v>241</v>
          </cell>
          <cell r="G187" t="str">
            <v>高斯系列2代智能开关(一开金)</v>
          </cell>
          <cell r="H187" t="str">
            <v>窗簾種類：夢幻簾/穿透簾
連線方式：Zigbee
本品不含軌道與窗簾布</v>
          </cell>
          <cell r="I187" t="str">
            <v>需提供110V插座</v>
          </cell>
          <cell r="J187"/>
          <cell r="K187" t="str">
            <v>顆</v>
          </cell>
          <cell r="L187"/>
          <cell r="M187"/>
          <cell r="N187">
            <v>0</v>
          </cell>
          <cell r="O187"/>
          <cell r="P187"/>
          <cell r="Q187">
            <v>2</v>
          </cell>
          <cell r="R187">
            <v>225</v>
          </cell>
          <cell r="S187"/>
        </row>
        <row r="188">
          <cell r="C188" t="str">
            <v>CK12G</v>
          </cell>
          <cell r="D188" t="str">
            <v>夢幻簾電動窗簾軌道</v>
          </cell>
          <cell r="E188">
            <v>47578.001880000003</v>
          </cell>
          <cell r="F188">
            <v>242</v>
          </cell>
          <cell r="G188" t="str">
            <v>高斯系列2代智能开关(二开金))</v>
          </cell>
          <cell r="H188" t="str">
            <v xml:space="preserve">軌道長度：1公尺(3呎)
</v>
          </cell>
          <cell r="I188"/>
          <cell r="J188"/>
          <cell r="K188" t="str">
            <v>組</v>
          </cell>
          <cell r="L188"/>
          <cell r="M188"/>
          <cell r="N188">
            <v>0</v>
          </cell>
          <cell r="O188"/>
          <cell r="P188"/>
          <cell r="Q188">
            <v>2</v>
          </cell>
          <cell r="R188">
            <v>225</v>
          </cell>
          <cell r="S188"/>
        </row>
        <row r="189">
          <cell r="C189" t="str">
            <v>W10G</v>
          </cell>
          <cell r="D189" t="str">
            <v>W10電動馬達軌道
(停產)</v>
          </cell>
          <cell r="E189">
            <v>87.001890000000003</v>
          </cell>
          <cell r="F189">
            <v>108</v>
          </cell>
          <cell r="G189" t="str">
            <v>高斯系列2代智能开关(三开金)</v>
          </cell>
          <cell r="H189" t="str">
            <v>300*260 尚飛2.2mm加厚軌道</v>
          </cell>
          <cell r="I189"/>
          <cell r="J189"/>
          <cell r="K189" t="str">
            <v>組</v>
          </cell>
          <cell r="L189"/>
          <cell r="M189"/>
          <cell r="N189">
            <v>0</v>
          </cell>
          <cell r="O189"/>
          <cell r="P189"/>
          <cell r="Q189">
            <v>2</v>
          </cell>
          <cell r="R189">
            <v>225</v>
          </cell>
          <cell r="S189"/>
        </row>
        <row r="190">
          <cell r="C190" t="str">
            <v>W1218</v>
          </cell>
          <cell r="D190" t="str">
            <v>W10電動馬達伸縮軌道1218
(停產)</v>
          </cell>
          <cell r="E190">
            <v>87.001900000000006</v>
          </cell>
          <cell r="F190">
            <v>109</v>
          </cell>
          <cell r="G190" t="str">
            <v>高斯系列2代智能开关(一开白)</v>
          </cell>
          <cell r="H190" t="str">
            <v>1.2-1.8m 伸縮軌道</v>
          </cell>
          <cell r="I190"/>
          <cell r="J190"/>
          <cell r="K190" t="str">
            <v>組</v>
          </cell>
          <cell r="L190"/>
          <cell r="M190"/>
          <cell r="N190">
            <v>0</v>
          </cell>
          <cell r="O190"/>
          <cell r="P190"/>
          <cell r="Q190">
            <v>2</v>
          </cell>
          <cell r="R190">
            <v>225</v>
          </cell>
          <cell r="S190"/>
        </row>
        <row r="191">
          <cell r="C191" t="str">
            <v>W1830</v>
          </cell>
          <cell r="D191" t="str">
            <v>W10電動馬達伸縮軌道1830
(停產)</v>
          </cell>
          <cell r="E191">
            <v>87.001909999999995</v>
          </cell>
          <cell r="F191">
            <v>110</v>
          </cell>
          <cell r="G191" t="str">
            <v>高斯系列2代智能开关(二开白)</v>
          </cell>
          <cell r="H191" t="str">
            <v>1.8-3m 伸縮軌道</v>
          </cell>
          <cell r="I191"/>
          <cell r="J191"/>
          <cell r="K191" t="str">
            <v>組</v>
          </cell>
          <cell r="L191"/>
          <cell r="M191"/>
          <cell r="N191">
            <v>0</v>
          </cell>
          <cell r="O191"/>
          <cell r="P191"/>
          <cell r="Q191">
            <v>2</v>
          </cell>
          <cell r="R191">
            <v>225</v>
          </cell>
          <cell r="S191"/>
        </row>
        <row r="192">
          <cell r="C192" t="str">
            <v>W2340</v>
          </cell>
          <cell r="D192" t="str">
            <v>W10電動馬達伸縮軌道2340
(停產)</v>
          </cell>
          <cell r="E192">
            <v>87.001919999999998</v>
          </cell>
          <cell r="F192">
            <v>111</v>
          </cell>
          <cell r="G192" t="str">
            <v>高斯系列2代智能开关(三开白)</v>
          </cell>
          <cell r="H192" t="str">
            <v>2.3-4m 伸縮軌道</v>
          </cell>
          <cell r="I192"/>
          <cell r="J192"/>
          <cell r="K192" t="str">
            <v>組</v>
          </cell>
          <cell r="L192"/>
          <cell r="M192"/>
          <cell r="N192">
            <v>0</v>
          </cell>
          <cell r="O192"/>
          <cell r="P192"/>
          <cell r="Q192">
            <v>2</v>
          </cell>
          <cell r="R192">
            <v>225</v>
          </cell>
          <cell r="S192"/>
        </row>
        <row r="193">
          <cell r="C193" t="str">
            <v>W2545</v>
          </cell>
          <cell r="D193" t="str">
            <v>W10電動馬達伸縮軌道2545
(停產)</v>
          </cell>
          <cell r="E193">
            <v>87.001930000000002</v>
          </cell>
          <cell r="F193">
            <v>112</v>
          </cell>
          <cell r="G193" t="str">
            <v>旋鈕面板
Gauss smart knob Control Panel</v>
          </cell>
          <cell r="H193" t="str">
            <v>2.5-4.5m 伸縮軌道</v>
          </cell>
          <cell r="I193"/>
          <cell r="J193"/>
          <cell r="K193" t="str">
            <v>組</v>
          </cell>
          <cell r="L193"/>
          <cell r="M193"/>
          <cell r="N193">
            <v>0</v>
          </cell>
          <cell r="O193"/>
          <cell r="P193"/>
          <cell r="Q193">
            <v>2</v>
          </cell>
          <cell r="R193">
            <v>225</v>
          </cell>
          <cell r="S193"/>
        </row>
        <row r="194">
          <cell r="C194" t="str">
            <v>WC45</v>
          </cell>
          <cell r="D194" t="str">
            <v>4.5M蛇形簾配件</v>
          </cell>
          <cell r="E194">
            <v>52.001939999999998</v>
          </cell>
          <cell r="F194">
            <v>9</v>
          </cell>
          <cell r="G194" t="str">
            <v>智慧門鎖C1-WiFi版(國際)</v>
          </cell>
          <cell r="H194" t="str">
            <v>4.5米 蛇形配件包</v>
          </cell>
          <cell r="I194"/>
          <cell r="J194"/>
          <cell r="K194" t="str">
            <v>組</v>
          </cell>
          <cell r="L194"/>
          <cell r="M194"/>
          <cell r="N194">
            <v>0</v>
          </cell>
          <cell r="O194"/>
          <cell r="P194"/>
          <cell r="Q194">
            <v>0.1</v>
          </cell>
          <cell r="R194">
            <v>11.25</v>
          </cell>
          <cell r="S194"/>
        </row>
        <row r="195">
          <cell r="C195" t="str">
            <v>WC30</v>
          </cell>
          <cell r="D195" t="str">
            <v>3M蛇形簾配件</v>
          </cell>
          <cell r="E195">
            <v>51.001950000000001</v>
          </cell>
          <cell r="F195">
            <v>8</v>
          </cell>
          <cell r="G195" t="str">
            <v>智慧戶外型高清監視器S3</v>
          </cell>
          <cell r="H195" t="str">
            <v>3米 蛇形配件包</v>
          </cell>
          <cell r="I195"/>
          <cell r="J195"/>
          <cell r="K195" t="str">
            <v>組</v>
          </cell>
          <cell r="L195"/>
          <cell r="M195"/>
          <cell r="N195">
            <v>0</v>
          </cell>
          <cell r="O195"/>
          <cell r="P195"/>
          <cell r="Q195">
            <v>0.1</v>
          </cell>
          <cell r="R195">
            <v>11.25</v>
          </cell>
          <cell r="S195"/>
        </row>
        <row r="196">
          <cell r="C196" t="str">
            <v>WG60</v>
          </cell>
          <cell r="D196" t="str">
            <v>摺距60</v>
          </cell>
          <cell r="E196">
            <v>47696.001960000001</v>
          </cell>
          <cell r="F196">
            <v>243</v>
          </cell>
          <cell r="G196" t="str">
            <v>智慧隨意貼遙控器-灰</v>
          </cell>
          <cell r="H196" t="str">
            <v>繩子 60mm</v>
          </cell>
          <cell r="I196"/>
          <cell r="J196"/>
          <cell r="K196" t="str">
            <v>米</v>
          </cell>
          <cell r="L196"/>
          <cell r="M196"/>
          <cell r="N196">
            <v>0</v>
          </cell>
          <cell r="O196"/>
          <cell r="P196"/>
          <cell r="Q196">
            <v>0.1</v>
          </cell>
          <cell r="R196">
            <v>11.25</v>
          </cell>
          <cell r="S196"/>
        </row>
        <row r="197">
          <cell r="C197" t="str">
            <v>WG70</v>
          </cell>
          <cell r="D197" t="str">
            <v>摺距70</v>
          </cell>
          <cell r="E197">
            <v>47696.001969999998</v>
          </cell>
          <cell r="F197">
            <v>244</v>
          </cell>
          <cell r="G197" t="str">
            <v>智慧隨意貼遙控器-白
(停產)</v>
          </cell>
          <cell r="H197" t="str">
            <v>繩子 70mm</v>
          </cell>
          <cell r="I197"/>
          <cell r="J197"/>
          <cell r="K197" t="str">
            <v>米</v>
          </cell>
          <cell r="L197"/>
          <cell r="M197"/>
          <cell r="N197">
            <v>0</v>
          </cell>
          <cell r="O197"/>
          <cell r="P197"/>
          <cell r="Q197">
            <v>0.1</v>
          </cell>
          <cell r="R197">
            <v>11.25</v>
          </cell>
          <cell r="S197"/>
        </row>
        <row r="198">
          <cell r="C198" t="str">
            <v>T30W1Z</v>
          </cell>
          <cell r="D198" t="str">
            <v>經典一開開關
(停產)</v>
          </cell>
          <cell r="E198">
            <v>47207.001980000001</v>
          </cell>
          <cell r="F198">
            <v>235</v>
          </cell>
          <cell r="G198" t="str">
            <v>智慧隨意貼遙控器-金
(停產)</v>
          </cell>
          <cell r="H198" t="str">
            <v>尺寸：90 * 86 * 38mm
電氣參數：AC250V，50 / 60Hz
工作溫度：-20〜60℃，-4〜140°F
最大限度。負載：600W</v>
          </cell>
          <cell r="I198" t="str">
            <v>需提供零線(N)-白線
採用86底盒安裝(智崴提供)</v>
          </cell>
          <cell r="J198"/>
          <cell r="K198" t="str">
            <v>顆</v>
          </cell>
          <cell r="L198">
            <v>17.940000000000001</v>
          </cell>
          <cell r="M198"/>
          <cell r="N198">
            <v>17.940000000000001</v>
          </cell>
          <cell r="O198">
            <v>19.375200000000003</v>
          </cell>
          <cell r="P198">
            <v>0.22</v>
          </cell>
          <cell r="Q198">
            <v>0.22</v>
          </cell>
          <cell r="R198">
            <v>24.75</v>
          </cell>
          <cell r="S198">
            <v>1</v>
          </cell>
        </row>
        <row r="199">
          <cell r="C199" t="str">
            <v>T30W2Z</v>
          </cell>
          <cell r="D199" t="str">
            <v>經典二開開關
(停產)</v>
          </cell>
          <cell r="E199">
            <v>47207.001989999997</v>
          </cell>
          <cell r="F199">
            <v>236</v>
          </cell>
          <cell r="G199" t="str">
            <v>智能磁吸格栅灯 15W</v>
          </cell>
          <cell r="H199" t="str">
            <v>尺寸：90 * 86 * 38mm
電氣參數：AC250V，50 / 60Hz
工作溫度：-20〜60℃，-4〜140°F
最大限度。負載：600W (每迴路)</v>
          </cell>
          <cell r="I199" t="str">
            <v>需提供零線(N)-白線
採用86底盒安裝(智崴提供)</v>
          </cell>
          <cell r="J199"/>
          <cell r="K199" t="str">
            <v>顆</v>
          </cell>
          <cell r="L199">
            <v>19.45</v>
          </cell>
          <cell r="M199"/>
          <cell r="N199">
            <v>19.45</v>
          </cell>
          <cell r="O199">
            <v>21.006</v>
          </cell>
          <cell r="P199">
            <v>0.24</v>
          </cell>
          <cell r="Q199">
            <v>0.24</v>
          </cell>
          <cell r="R199">
            <v>27</v>
          </cell>
          <cell r="S199">
            <v>1</v>
          </cell>
        </row>
        <row r="200">
          <cell r="C200" t="str">
            <v>T30W3Z</v>
          </cell>
          <cell r="D200" t="str">
            <v>經典三開開關
(停產)</v>
          </cell>
          <cell r="E200">
            <v>47207.002</v>
          </cell>
          <cell r="F200">
            <v>237</v>
          </cell>
          <cell r="G200" t="str">
            <v>智能磁吸格栅灯 8W</v>
          </cell>
          <cell r="H200" t="str">
            <v>尺寸：90 * 86 * 38mm
電氣參數：AC250V，50 / 60Hz
工作溫度：-20〜60℃，-4〜140°F
最大限度。負載：200W (每迴路)</v>
          </cell>
          <cell r="I200" t="str">
            <v>需提供零線(N)-白線
採用86底盒安裝(智崴提供)</v>
          </cell>
          <cell r="J200"/>
          <cell r="K200" t="str">
            <v>顆</v>
          </cell>
          <cell r="L200">
            <v>20.96</v>
          </cell>
          <cell r="M200"/>
          <cell r="N200">
            <v>20.96</v>
          </cell>
          <cell r="O200">
            <v>22.636800000000001</v>
          </cell>
          <cell r="P200">
            <v>0.21</v>
          </cell>
          <cell r="Q200">
            <v>0.21</v>
          </cell>
          <cell r="R200">
            <v>23.625</v>
          </cell>
          <cell r="S200">
            <v>1</v>
          </cell>
        </row>
        <row r="201">
          <cell r="C201" t="str">
            <v>T30S3Z</v>
          </cell>
          <cell r="D201" t="str">
            <v>經典情境開關
(停產)</v>
          </cell>
          <cell r="E201">
            <v>47207.002009999997</v>
          </cell>
          <cell r="F201">
            <v>238</v>
          </cell>
          <cell r="G201" t="str">
            <v>智慧磁性摺疊格柵燈12W S2</v>
          </cell>
          <cell r="H201" t="str">
            <v>尺寸：90 * 86 * 38mm
電氣參數：AC250V，50 / 60Hz
工作溫度：-20〜60℃，-4〜140°F</v>
          </cell>
          <cell r="I201" t="str">
            <v>需提供零線(N)-白線
採用86底盒安裝(智崴提供)</v>
          </cell>
          <cell r="J201"/>
          <cell r="K201" t="str">
            <v>顆</v>
          </cell>
          <cell r="L201">
            <v>20.96</v>
          </cell>
          <cell r="M201"/>
          <cell r="N201">
            <v>20.96</v>
          </cell>
          <cell r="O201">
            <v>22.636800000000001</v>
          </cell>
          <cell r="P201">
            <v>0.21</v>
          </cell>
          <cell r="Q201">
            <v>0.21</v>
          </cell>
          <cell r="R201">
            <v>23.625</v>
          </cell>
          <cell r="S201">
            <v>1</v>
          </cell>
        </row>
        <row r="202">
          <cell r="C202" t="str">
            <v>V36X</v>
          </cell>
          <cell r="D202" t="str">
            <v>MixPAD Mini C2
(L / N版本)
(停產)</v>
          </cell>
          <cell r="E202">
            <v>77.002020000000002</v>
          </cell>
          <cell r="F202">
            <v>57</v>
          </cell>
          <cell r="G202" t="str">
            <v>智慧磁性圓形枝形吊燈S2</v>
          </cell>
          <cell r="H202" t="str">
            <v>電源供應器：AC100-240V，50/60Hz
L&amp;N連接
顏色: 白色
尺寸：86*86*35.8mm
內建開關：2組
最大負載：&lt;150W/迴​​路LED</v>
          </cell>
          <cell r="I202"/>
          <cell r="J202"/>
          <cell r="K202" t="str">
            <v>台</v>
          </cell>
          <cell r="L202">
            <v>93.23</v>
          </cell>
          <cell r="M202">
            <v>87</v>
          </cell>
          <cell r="N202">
            <v>87</v>
          </cell>
          <cell r="O202">
            <v>100.68840000000002</v>
          </cell>
          <cell r="P202">
            <v>0.3</v>
          </cell>
          <cell r="Q202">
            <v>0.3</v>
          </cell>
          <cell r="R202">
            <v>33.75</v>
          </cell>
          <cell r="S202">
            <v>6</v>
          </cell>
        </row>
        <row r="203">
          <cell r="C203" t="str">
            <v>SHOWCASE-T1</v>
          </cell>
          <cell r="D203" t="str">
            <v>T1展示架
(停產)</v>
          </cell>
          <cell r="E203">
            <v>84.002030000000005</v>
          </cell>
          <cell r="F203">
            <v>96</v>
          </cell>
          <cell r="G203" t="str">
            <v>智慧磁性枝形吊燈 S2 
（蠟燭形狀 1 燈）</v>
          </cell>
          <cell r="H203"/>
          <cell r="I203"/>
          <cell r="J203"/>
          <cell r="K203" t="str">
            <v>座</v>
          </cell>
          <cell r="L203">
            <v>50</v>
          </cell>
          <cell r="M203"/>
          <cell r="N203">
            <v>50</v>
          </cell>
          <cell r="O203">
            <v>54</v>
          </cell>
          <cell r="P203"/>
          <cell r="Q203">
            <v>1</v>
          </cell>
          <cell r="R203">
            <v>112.5</v>
          </cell>
          <cell r="S203">
            <v>3</v>
          </cell>
        </row>
        <row r="204">
          <cell r="C204" t="str">
            <v>Allone Pro</v>
          </cell>
          <cell r="D204" t="str">
            <v>射頻控制器-WiFi版
(停產)</v>
          </cell>
          <cell r="E204">
            <v>44647.002039999999</v>
          </cell>
          <cell r="F204">
            <v>174</v>
          </cell>
          <cell r="G204" t="str">
            <v>智慧磁性枝形吊燈 S2
 （蠟燭形狀 3 燈）</v>
          </cell>
          <cell r="H204" t="str">
            <v>控制電視、空調、投影機等射頻及紅外線電器。</v>
          </cell>
          <cell r="I204"/>
          <cell r="J204"/>
          <cell r="K204" t="str">
            <v>顆</v>
          </cell>
          <cell r="L204">
            <v>13.02</v>
          </cell>
          <cell r="M204">
            <v>13.02</v>
          </cell>
          <cell r="N204">
            <v>13.02</v>
          </cell>
          <cell r="O204">
            <v>14.0616</v>
          </cell>
          <cell r="P204">
            <v>0.23</v>
          </cell>
          <cell r="Q204">
            <v>0.23</v>
          </cell>
          <cell r="R204">
            <v>25.875</v>
          </cell>
          <cell r="S204">
            <v>3</v>
          </cell>
        </row>
        <row r="205">
          <cell r="C205" t="str">
            <v>CT10W-B1VO</v>
          </cell>
          <cell r="D205" t="str">
            <v>小方遙控器
(停產)</v>
          </cell>
          <cell r="E205">
            <v>42096.002050000003</v>
          </cell>
          <cell r="F205">
            <v>137</v>
          </cell>
          <cell r="G205" t="str">
            <v>智慧磁力格柵燈8W 3000k Q系列
(停產)</v>
          </cell>
          <cell r="H205" t="str">
            <v>控制電視、空調、投影機等紅外線電器。
支援學習功能。</v>
          </cell>
          <cell r="I205"/>
          <cell r="J205"/>
          <cell r="K205" t="str">
            <v>顆</v>
          </cell>
          <cell r="L205">
            <v>11</v>
          </cell>
          <cell r="M205">
            <v>11</v>
          </cell>
          <cell r="N205">
            <v>11</v>
          </cell>
          <cell r="O205">
            <v>11.88</v>
          </cell>
          <cell r="P205">
            <v>0.18</v>
          </cell>
          <cell r="Q205">
            <v>0.18</v>
          </cell>
          <cell r="R205">
            <v>20.25</v>
          </cell>
          <cell r="S205">
            <v>1</v>
          </cell>
        </row>
        <row r="206">
          <cell r="C206" t="str">
            <v>MG-OV01W</v>
          </cell>
          <cell r="D206" t="str">
            <v>美規一開開關-白
(停產)</v>
          </cell>
          <cell r="E206">
            <v>44284.002059999999</v>
          </cell>
          <cell r="F206">
            <v>165</v>
          </cell>
          <cell r="G206" t="str">
            <v>智慧磁力格柵燈8W 4000k Q系列
(停產)</v>
          </cell>
          <cell r="H206" t="str">
            <v>尺寸 : 120*82*38mm
開孔尺寸 : 72*55*35mm
電源 : AC110-240V 50~60Hz
最大功率 : 600W /切</v>
          </cell>
          <cell r="I206" t="str">
            <v>需提供零線(N)-白線
採用86底盒安裝(智崴提供)</v>
          </cell>
          <cell r="J206"/>
          <cell r="K206" t="str">
            <v>顆</v>
          </cell>
          <cell r="L206">
            <v>30</v>
          </cell>
          <cell r="M206"/>
          <cell r="N206">
            <v>30</v>
          </cell>
          <cell r="O206">
            <v>32.400000000000006</v>
          </cell>
          <cell r="P206"/>
          <cell r="Q206">
            <v>0.3</v>
          </cell>
          <cell r="R206">
            <v>33.75</v>
          </cell>
          <cell r="S206">
            <v>3</v>
          </cell>
        </row>
        <row r="207">
          <cell r="C207" t="str">
            <v>MG-OV02W</v>
          </cell>
          <cell r="D207" t="str">
            <v>美規二開開關-白
(停產)</v>
          </cell>
          <cell r="E207">
            <v>44284.002070000002</v>
          </cell>
          <cell r="F207">
            <v>166</v>
          </cell>
          <cell r="G207" t="str">
            <v>智慧磁力格柵燈8W 6000k Q系列
(停產)</v>
          </cell>
          <cell r="H207" t="str">
            <v>尺寸 : 120*82*38mm
開孔尺寸 : 72*55*35mm
電源 : AC110-240V 50~60Hz
最大功率 : 300W /切</v>
          </cell>
          <cell r="I207" t="str">
            <v>需提供零線(N)-白線
採用86底盒安裝(智崴提供)</v>
          </cell>
          <cell r="J207"/>
          <cell r="K207" t="str">
            <v>顆</v>
          </cell>
          <cell r="L207">
            <v>30</v>
          </cell>
          <cell r="M207"/>
          <cell r="N207">
            <v>30</v>
          </cell>
          <cell r="O207">
            <v>32.400000000000006</v>
          </cell>
          <cell r="P207"/>
          <cell r="Q207">
            <v>0.3</v>
          </cell>
          <cell r="R207">
            <v>33.75</v>
          </cell>
          <cell r="S207">
            <v>3</v>
          </cell>
        </row>
        <row r="208">
          <cell r="C208" t="str">
            <v>MG-OV03W</v>
          </cell>
          <cell r="D208" t="str">
            <v>美規三開開關-白
(停產)</v>
          </cell>
          <cell r="E208">
            <v>44284.002079999998</v>
          </cell>
          <cell r="F208">
            <v>167</v>
          </cell>
          <cell r="G208" t="str">
            <v>智慧磁力格柵燈15W 3000k Q系列
(停產)</v>
          </cell>
          <cell r="H208" t="str">
            <v>尺寸 : 120*82*38mm
開孔尺寸 : 72*55*35mm
電源 : AC110-240V 50~60Hz
最大功率 : 200W /切</v>
          </cell>
          <cell r="I208" t="str">
            <v>需提供零線(N)-白線
採用86底盒安裝(智崴提供)</v>
          </cell>
          <cell r="J208"/>
          <cell r="K208" t="str">
            <v>顆</v>
          </cell>
          <cell r="L208">
            <v>30</v>
          </cell>
          <cell r="M208"/>
          <cell r="N208">
            <v>30</v>
          </cell>
          <cell r="O208">
            <v>32.400000000000006</v>
          </cell>
          <cell r="P208"/>
          <cell r="Q208">
            <v>0.3</v>
          </cell>
          <cell r="R208">
            <v>33.75</v>
          </cell>
          <cell r="S208">
            <v>3</v>
          </cell>
        </row>
        <row r="209">
          <cell r="C209" t="str">
            <v>MG-OV03SW</v>
          </cell>
          <cell r="D209" t="str">
            <v>美規情境開關-白
(停產)</v>
          </cell>
          <cell r="E209">
            <v>44284.002090000002</v>
          </cell>
          <cell r="F209">
            <v>168</v>
          </cell>
          <cell r="G209" t="str">
            <v>智慧磁力格柵燈15W 4000k Q系列
(停產)</v>
          </cell>
          <cell r="H209" t="str">
            <v>尺寸 : 120*82*38mm
開孔尺寸 : 72*55*35mm
電源 : AC110-240V 50~60Hz</v>
          </cell>
          <cell r="I209" t="str">
            <v>需提供零線(N)-白線
採用86底盒安裝(智崴提供)</v>
          </cell>
          <cell r="J209"/>
          <cell r="K209" t="str">
            <v>顆</v>
          </cell>
          <cell r="L209">
            <v>30</v>
          </cell>
          <cell r="M209"/>
          <cell r="N209">
            <v>30</v>
          </cell>
          <cell r="O209">
            <v>32.400000000000006</v>
          </cell>
          <cell r="P209"/>
          <cell r="Q209">
            <v>0.3</v>
          </cell>
          <cell r="R209">
            <v>33.75</v>
          </cell>
          <cell r="S209">
            <v>3</v>
          </cell>
        </row>
        <row r="210">
          <cell r="C210" t="str">
            <v>MG-OV01B</v>
          </cell>
          <cell r="D210" t="str">
            <v>美規一開開關-黑
(停產)</v>
          </cell>
          <cell r="E210">
            <v>44284.002099999998</v>
          </cell>
          <cell r="F210">
            <v>169</v>
          </cell>
          <cell r="G210" t="str">
            <v>智慧磁格柵燈15W 6000k Q系列
(停產)</v>
          </cell>
          <cell r="H210" t="str">
            <v>尺寸 : 120*82*38mm
開孔尺寸 : 72*55*35mm
電源 : AC110-240V 50~60Hz
最大功率 : 600W /切</v>
          </cell>
          <cell r="I210" t="str">
            <v>需提供零線(N)-白線
採用86底盒安裝(智崴提供)</v>
          </cell>
          <cell r="J210"/>
          <cell r="K210" t="str">
            <v>顆</v>
          </cell>
          <cell r="L210">
            <v>30</v>
          </cell>
          <cell r="M210"/>
          <cell r="N210">
            <v>30</v>
          </cell>
          <cell r="O210">
            <v>32.400000000000006</v>
          </cell>
          <cell r="P210"/>
          <cell r="Q210">
            <v>0.3</v>
          </cell>
          <cell r="R210">
            <v>33.75</v>
          </cell>
          <cell r="S210">
            <v>3</v>
          </cell>
        </row>
        <row r="211">
          <cell r="C211" t="str">
            <v>MG-OV02B</v>
          </cell>
          <cell r="D211" t="str">
            <v>美規二開開關-黑
(停產)</v>
          </cell>
          <cell r="E211">
            <v>44284.002110000001</v>
          </cell>
          <cell r="F211">
            <v>170</v>
          </cell>
          <cell r="G211" t="str">
            <v>智慧磁性泛光燈8W 3000k Q系列
(停產)</v>
          </cell>
          <cell r="H211" t="str">
            <v>尺寸 : 120*82*38mm
開孔尺寸 : 72*55*35mm
電源 : AC110-240V 50~60Hz
最大功率 : 300W /切</v>
          </cell>
          <cell r="I211" t="str">
            <v>需提供零線(N)-白線
採用86底盒安裝(智崴提供)</v>
          </cell>
          <cell r="J211"/>
          <cell r="K211" t="str">
            <v>顆</v>
          </cell>
          <cell r="L211">
            <v>30</v>
          </cell>
          <cell r="M211"/>
          <cell r="N211">
            <v>30</v>
          </cell>
          <cell r="O211">
            <v>32.400000000000006</v>
          </cell>
          <cell r="P211"/>
          <cell r="Q211">
            <v>0.3</v>
          </cell>
          <cell r="R211">
            <v>33.75</v>
          </cell>
          <cell r="S211">
            <v>3</v>
          </cell>
        </row>
        <row r="212">
          <cell r="C212" t="str">
            <v>MG-OV03B</v>
          </cell>
          <cell r="D212" t="str">
            <v>美規三開開關-黑
(停產)</v>
          </cell>
          <cell r="E212">
            <v>44284.002119999997</v>
          </cell>
          <cell r="F212">
            <v>171</v>
          </cell>
          <cell r="G212" t="str">
            <v>智慧磁力泛光燈8W 4000k Q系列
(停產)</v>
          </cell>
          <cell r="H212" t="str">
            <v>尺寸 : 120*82*38mm
開孔尺寸 : 72*55*35mm
電源 : AC110-240V 50~60Hz
最大功率 : 200W /切</v>
          </cell>
          <cell r="I212" t="str">
            <v>需提供零線(N)-白線
採用86底盒安裝(智崴提供)</v>
          </cell>
          <cell r="J212"/>
          <cell r="K212" t="str">
            <v>顆</v>
          </cell>
          <cell r="L212">
            <v>30</v>
          </cell>
          <cell r="M212"/>
          <cell r="N212">
            <v>30</v>
          </cell>
          <cell r="O212">
            <v>32.400000000000006</v>
          </cell>
          <cell r="P212"/>
          <cell r="Q212">
            <v>0.3</v>
          </cell>
          <cell r="R212">
            <v>33.75</v>
          </cell>
          <cell r="S212">
            <v>3</v>
          </cell>
        </row>
        <row r="213">
          <cell r="C213" t="str">
            <v>MG-OV03SB</v>
          </cell>
          <cell r="D213" t="str">
            <v>美規情境開關-黑
(停產)</v>
          </cell>
          <cell r="E213">
            <v>44284.002130000001</v>
          </cell>
          <cell r="F213">
            <v>172</v>
          </cell>
          <cell r="G213" t="str">
            <v>智慧磁力泛光燈8W 6000k Q系列
(停產)</v>
          </cell>
          <cell r="H213" t="str">
            <v>尺寸 : 120*82*38mm
開孔尺寸 : 72*55*35mm
電源 : AC110-240V 50~60Hz</v>
          </cell>
          <cell r="I213" t="str">
            <v>需提供零線(N)-白線
採用86底盒安裝(智崴提供)</v>
          </cell>
          <cell r="J213"/>
          <cell r="K213" t="str">
            <v>顆</v>
          </cell>
          <cell r="L213">
            <v>30</v>
          </cell>
          <cell r="M213"/>
          <cell r="N213">
            <v>30</v>
          </cell>
          <cell r="O213">
            <v>32.400000000000006</v>
          </cell>
          <cell r="P213"/>
          <cell r="Q213">
            <v>0.3</v>
          </cell>
          <cell r="R213">
            <v>33.75</v>
          </cell>
          <cell r="S213">
            <v>3</v>
          </cell>
        </row>
        <row r="214">
          <cell r="C214" t="str">
            <v>MG-A
MG-B</v>
          </cell>
          <cell r="D214" t="str">
            <v>美規面板-白/黑
(停產)</v>
          </cell>
          <cell r="E214">
            <v>44284.002139999997</v>
          </cell>
          <cell r="F214">
            <v>173</v>
          </cell>
          <cell r="G214" t="str">
            <v>智慧磁力泛光燈15W 3000k Q系列
(停產)</v>
          </cell>
          <cell r="H214" t="str">
            <v>美規面板-白/黑</v>
          </cell>
          <cell r="I214"/>
          <cell r="J214"/>
          <cell r="K214" t="str">
            <v>顆</v>
          </cell>
          <cell r="L214">
            <v>2</v>
          </cell>
          <cell r="M214"/>
          <cell r="N214">
            <v>2</v>
          </cell>
          <cell r="O214">
            <v>2.16</v>
          </cell>
          <cell r="P214"/>
          <cell r="Q214">
            <v>0.3</v>
          </cell>
          <cell r="R214">
            <v>33.75</v>
          </cell>
          <cell r="S214">
            <v>1</v>
          </cell>
        </row>
        <row r="215">
          <cell r="C215" t="str">
            <v>T1-CB</v>
          </cell>
          <cell r="D215" t="str">
            <v>智慧門鎖T1-CB-ZigBee版
(停產)</v>
          </cell>
          <cell r="E215">
            <v>46268.00215</v>
          </cell>
          <cell r="F215">
            <v>223</v>
          </cell>
          <cell r="G215" t="str">
            <v>智慧磁性泛光燈15W 4000k Q系列
(停產)</v>
          </cell>
          <cell r="H215" t="str">
            <v>尺寸：336mm * 66mm * 70mm
電源：DC 7.5V（5 * 2pcs AA電池）
應急電源：DC 5V，Type C(USB 3.0)
支撐門厚度：40〜120mm（標準：50〜90mm）
工作溫度：-10〜50℃
支援：指紋、密碼、臨時密碼、感應卡、實體鑰匙
具備開關門顯示功能
(個案用，無消防測燒認證)
預計9月份停產
(停產)</v>
          </cell>
          <cell r="I215"/>
          <cell r="J215"/>
          <cell r="K215" t="str">
            <v>把</v>
          </cell>
          <cell r="L215">
            <v>161</v>
          </cell>
          <cell r="M215"/>
          <cell r="N215">
            <v>161</v>
          </cell>
          <cell r="O215">
            <v>173.88000000000002</v>
          </cell>
          <cell r="P215"/>
          <cell r="Q215">
            <v>5</v>
          </cell>
          <cell r="R215">
            <v>562.5</v>
          </cell>
          <cell r="S215">
            <v>15</v>
          </cell>
        </row>
        <row r="216">
          <cell r="C216"/>
          <cell r="D216" t="str">
            <v>T1 門鎖主機板
(停產)</v>
          </cell>
          <cell r="E216">
            <v>84.002160000000003</v>
          </cell>
          <cell r="F216">
            <v>97</v>
          </cell>
          <cell r="G216" t="str">
            <v>智慧磁力泛光燈15W 6000k Q系列
(停產)</v>
          </cell>
          <cell r="H216"/>
          <cell r="I216"/>
          <cell r="J216"/>
          <cell r="K216" t="str">
            <v>塊</v>
          </cell>
          <cell r="L216">
            <v>53</v>
          </cell>
          <cell r="M216"/>
          <cell r="N216">
            <v>53</v>
          </cell>
          <cell r="O216">
            <v>57.24</v>
          </cell>
          <cell r="P216"/>
          <cell r="Q216">
            <v>0</v>
          </cell>
          <cell r="R216">
            <v>0</v>
          </cell>
          <cell r="S216">
            <v>1</v>
          </cell>
        </row>
        <row r="217">
          <cell r="C217"/>
          <cell r="D217" t="str">
            <v>T1 Zigbee模組
(停產)</v>
          </cell>
          <cell r="E217">
            <v>84.002170000000007</v>
          </cell>
          <cell r="F217">
            <v>98</v>
          </cell>
          <cell r="G217" t="str">
            <v>智慧磁力射燈8W 3000k Q系列
(停產)</v>
          </cell>
          <cell r="H217"/>
          <cell r="I217"/>
          <cell r="J217"/>
          <cell r="K217" t="str">
            <v>塊</v>
          </cell>
          <cell r="L217">
            <v>12.5</v>
          </cell>
          <cell r="M217"/>
          <cell r="N217">
            <v>12.5</v>
          </cell>
          <cell r="O217">
            <v>13.5</v>
          </cell>
          <cell r="P217"/>
          <cell r="Q217">
            <v>0</v>
          </cell>
          <cell r="R217">
            <v>0</v>
          </cell>
          <cell r="S217">
            <v>1</v>
          </cell>
        </row>
        <row r="218">
          <cell r="C218"/>
          <cell r="D218" t="str">
            <v>T1 指紋模組
(停產)</v>
          </cell>
          <cell r="E218">
            <v>84.002179999999996</v>
          </cell>
          <cell r="F218">
            <v>99</v>
          </cell>
          <cell r="G218" t="str">
            <v>智慧磁力射燈8W 4000k Q系列
(停產)</v>
          </cell>
          <cell r="H218"/>
          <cell r="I218"/>
          <cell r="J218"/>
          <cell r="K218" t="str">
            <v>塊</v>
          </cell>
          <cell r="L218">
            <v>18</v>
          </cell>
          <cell r="M218"/>
          <cell r="N218">
            <v>18</v>
          </cell>
          <cell r="O218">
            <v>19.440000000000001</v>
          </cell>
          <cell r="P218"/>
          <cell r="Q218">
            <v>0</v>
          </cell>
          <cell r="R218">
            <v>0</v>
          </cell>
          <cell r="S218">
            <v>1</v>
          </cell>
        </row>
        <row r="219">
          <cell r="C219"/>
          <cell r="D219" t="str">
            <v>T1 鑰匙頭
(停產)</v>
          </cell>
          <cell r="E219">
            <v>84.002189999999999</v>
          </cell>
          <cell r="F219">
            <v>100</v>
          </cell>
          <cell r="G219" t="str">
            <v>智慧磁力射燈8W 6000k Q系列
(停產)</v>
          </cell>
          <cell r="H219"/>
          <cell r="I219"/>
          <cell r="J219"/>
          <cell r="K219" t="str">
            <v>顆</v>
          </cell>
          <cell r="L219">
            <v>12.5</v>
          </cell>
          <cell r="M219"/>
          <cell r="N219">
            <v>12.5</v>
          </cell>
          <cell r="O219">
            <v>13.5</v>
          </cell>
          <cell r="P219"/>
          <cell r="Q219">
            <v>0</v>
          </cell>
          <cell r="R219">
            <v>0</v>
          </cell>
          <cell r="S219">
            <v>1</v>
          </cell>
        </row>
        <row r="220">
          <cell r="C220" t="str">
            <v>OLock</v>
          </cell>
          <cell r="D220" t="str">
            <v>智慧門鎖OLock-WiFi版
(停產)</v>
          </cell>
          <cell r="E220">
            <v>46268.002200000003</v>
          </cell>
          <cell r="F220">
            <v>224</v>
          </cell>
          <cell r="G220" t="str">
            <v>智慧磁性摺疊格柵燈12W 3000k Q系列
(停產)</v>
          </cell>
          <cell r="H220" t="str">
            <v>戶外尺寸：153*68*29.5mm
室內尺寸：173*72*51.5mm
支援門厚：35-55mm
電源供應：AA電池四個
無線：WiFi 802.11b/g/n
解鎖方式：密碼、單次臨時、APP遠端解鎖與實體鑰匙
自動上鎖與警報通報
(個案用，無消防測燒認證)</v>
          </cell>
          <cell r="I220"/>
          <cell r="J220"/>
          <cell r="K220" t="str">
            <v>把</v>
          </cell>
          <cell r="L220">
            <v>55.82</v>
          </cell>
          <cell r="M220">
            <v>55.82</v>
          </cell>
          <cell r="N220">
            <v>55.82</v>
          </cell>
          <cell r="O220">
            <v>60.285600000000002</v>
          </cell>
          <cell r="P220"/>
          <cell r="Q220">
            <v>0</v>
          </cell>
          <cell r="R220">
            <v>0</v>
          </cell>
          <cell r="S220">
            <v>15</v>
          </cell>
        </row>
        <row r="221">
          <cell r="C221" t="str">
            <v>DLW24151</v>
          </cell>
          <cell r="D221" t="str">
            <v>蒼芎智慧燈條(2M)
(停產)</v>
          </cell>
          <cell r="E221">
            <v>47969.002209999999</v>
          </cell>
          <cell r="F221">
            <v>256</v>
          </cell>
          <cell r="G221" t="str">
            <v>智慧磁性摺疊格柵燈12W 4000k Q系列
(停產)</v>
          </cell>
          <cell r="H221" t="str">
            <v>輸入：交流100V-240V～50-60Hz
輸出：DC24V 1A
適配器尺寸：71.5*43.5*30mm（線長：1.5M）
控制器尺寸：80*35*15mm
LED燈條尺寸：L2000mm * W14mm * H4mm（可延長至10公尺。）
協定：Wi-Fi + BLE
顯色指數&gt;90Ra
調光：1-100%
光通量：&gt;1800lm
顏色：RGB 1600萬色可選
色溫範圍：2700K-6000K
工作溫度：0℃ - 40℃</v>
          </cell>
          <cell r="I221"/>
          <cell r="J221"/>
          <cell r="K221" t="str">
            <v>組</v>
          </cell>
          <cell r="L221">
            <v>30.82</v>
          </cell>
          <cell r="M221">
            <v>30.82</v>
          </cell>
          <cell r="N221">
            <v>30.82</v>
          </cell>
          <cell r="O221">
            <v>33.285600000000002</v>
          </cell>
          <cell r="P221">
            <v>0.44</v>
          </cell>
          <cell r="Q221">
            <v>0.44</v>
          </cell>
          <cell r="R221">
            <v>49.5</v>
          </cell>
          <cell r="S221">
            <v>1</v>
          </cell>
        </row>
        <row r="222">
          <cell r="C222" t="str">
            <v>GH-Mini</v>
          </cell>
          <cell r="D222" t="str">
            <v>Google語音助理
(WiFi) (恕不挑色)
(停售)</v>
          </cell>
          <cell r="E222">
            <v>71.002219999999994</v>
          </cell>
          <cell r="F222">
            <v>16</v>
          </cell>
          <cell r="G222" t="str">
            <v>智慧磁性摺疊格柵燈12W 6000k Q系列
(停產)</v>
          </cell>
          <cell r="H222"/>
          <cell r="I222"/>
          <cell r="J222"/>
          <cell r="K222" t="str">
            <v>台</v>
          </cell>
          <cell r="L222">
            <v>32.76</v>
          </cell>
          <cell r="M222"/>
          <cell r="N222">
            <v>32.76</v>
          </cell>
          <cell r="O222">
            <v>32.76</v>
          </cell>
          <cell r="P222"/>
          <cell r="Q222">
            <v>0</v>
          </cell>
          <cell r="R222">
            <v>0</v>
          </cell>
          <cell r="S222">
            <v>2</v>
          </cell>
        </row>
        <row r="223">
          <cell r="C223" t="str">
            <v>GH-Hub</v>
          </cell>
          <cell r="D223" t="str">
            <v>Google語音助理
(WiFi)
(停產)</v>
          </cell>
          <cell r="E223">
            <v>71.002229999999997</v>
          </cell>
          <cell r="F223">
            <v>17</v>
          </cell>
          <cell r="G223"/>
          <cell r="H223"/>
          <cell r="I223"/>
          <cell r="J223"/>
          <cell r="K223" t="str">
            <v>台</v>
          </cell>
          <cell r="L223">
            <v>83.870967741935488</v>
          </cell>
          <cell r="M223"/>
          <cell r="N223">
            <v>83.870967741935488</v>
          </cell>
          <cell r="O223">
            <v>83.870967741935488</v>
          </cell>
          <cell r="P223"/>
          <cell r="Q223">
            <v>1</v>
          </cell>
          <cell r="R223">
            <v>112.5</v>
          </cell>
          <cell r="S223">
            <v>2</v>
          </cell>
        </row>
        <row r="224">
          <cell r="C224" t="str">
            <v>TL-D-04</v>
          </cell>
          <cell r="D224" t="str">
            <v>Wifi 分享器 TP-link Mesh</v>
          </cell>
          <cell r="E224">
            <v>87.00224</v>
          </cell>
          <cell r="F224">
            <v>113</v>
          </cell>
          <cell r="G224" t="str">
            <v>智慧門鎖OLock-WiFi版
(停產)</v>
          </cell>
          <cell r="H224"/>
          <cell r="I224"/>
          <cell r="J224"/>
          <cell r="K224" t="str">
            <v>台</v>
          </cell>
          <cell r="L224">
            <v>58</v>
          </cell>
          <cell r="M224"/>
          <cell r="N224">
            <v>58</v>
          </cell>
          <cell r="O224">
            <v>62.64</v>
          </cell>
          <cell r="P224"/>
          <cell r="Q224">
            <v>0</v>
          </cell>
          <cell r="R224">
            <v>0</v>
          </cell>
          <cell r="S224">
            <v>4</v>
          </cell>
        </row>
        <row r="225">
          <cell r="C225" t="str">
            <v>DZZ08144</v>
          </cell>
          <cell r="D225" t="str">
            <v>SOPRO智慧壁燈
(停售)</v>
          </cell>
          <cell r="E225">
            <v>83.002250000000004</v>
          </cell>
          <cell r="F225">
            <v>73</v>
          </cell>
          <cell r="G225" t="str">
            <v>智慧門鎖S2-WiFi版
(停售)</v>
          </cell>
          <cell r="H225" t="str">
            <v>電源供應器：220V-240V～50/60Hz
尺寸：L160mm*W82mm*H104mm
協定：Wi-Fi + BLE
顯色指數：Ra&gt;95
光束角：100°
額定功率：7W
亮度：1% - 100%
光通量：&gt;525Lm
色溫範圍：2700K~6000K</v>
          </cell>
          <cell r="I225"/>
          <cell r="J225"/>
          <cell r="K225" t="str">
            <v>顆</v>
          </cell>
          <cell r="L225">
            <v>37</v>
          </cell>
          <cell r="M225">
            <v>37</v>
          </cell>
          <cell r="N225">
            <v>37</v>
          </cell>
          <cell r="O225">
            <v>39.96</v>
          </cell>
          <cell r="P225">
            <v>0.56000000000000005</v>
          </cell>
          <cell r="Q225">
            <v>0.56000000000000005</v>
          </cell>
          <cell r="R225">
            <v>63.000000000000007</v>
          </cell>
          <cell r="S225">
            <v>2</v>
          </cell>
        </row>
        <row r="226">
          <cell r="C226" t="str">
            <v>DZZ16145</v>
          </cell>
          <cell r="D226" t="str">
            <v>SOPRO智慧落地燈
(停售)</v>
          </cell>
          <cell r="E226">
            <v>83.002260000000007</v>
          </cell>
          <cell r="F226">
            <v>74</v>
          </cell>
          <cell r="G226" t="str">
            <v>智慧門鎖V5(木)
(停售)</v>
          </cell>
          <cell r="H226" t="str">
            <v>電源供應器：220V-240V～50/60Hz
尺寸：W250mm*H1560mm
協定：Wi-Fi + BLE
顯色指數：Ra&gt;95
光束角：100°
額定功率：15W
亮度：1% - 100%
光通量：&gt;1050lm
色溫範圍：2700K~6000K</v>
          </cell>
          <cell r="I226"/>
          <cell r="J226"/>
          <cell r="K226" t="str">
            <v>組</v>
          </cell>
          <cell r="L226">
            <v>110</v>
          </cell>
          <cell r="M226">
            <v>110</v>
          </cell>
          <cell r="N226">
            <v>110</v>
          </cell>
          <cell r="O226">
            <v>118.80000000000001</v>
          </cell>
          <cell r="P226">
            <v>5</v>
          </cell>
          <cell r="Q226">
            <v>5</v>
          </cell>
          <cell r="R226">
            <v>562.5</v>
          </cell>
          <cell r="S226">
            <v>3</v>
          </cell>
        </row>
        <row r="227">
          <cell r="C227" t="str">
            <v>DXW135148</v>
          </cell>
          <cell r="D227" t="str">
            <v>蒼芎吸頂燈PRO
(停售)</v>
          </cell>
          <cell r="E227">
            <v>47969.002269999997</v>
          </cell>
          <cell r="F227">
            <v>257</v>
          </cell>
          <cell r="G227" t="str">
            <v>超薄智能筒燈 S3（7W）
需配置Mixpad 使用</v>
          </cell>
          <cell r="H227"/>
          <cell r="I227"/>
          <cell r="J227"/>
          <cell r="K227" t="str">
            <v>組</v>
          </cell>
          <cell r="L227">
            <v>1076.68</v>
          </cell>
          <cell r="M227">
            <v>1077</v>
          </cell>
          <cell r="N227">
            <v>1077</v>
          </cell>
          <cell r="O227">
            <v>1162.8144000000002</v>
          </cell>
          <cell r="P227">
            <v>24.8</v>
          </cell>
          <cell r="Q227">
            <v>24.8</v>
          </cell>
          <cell r="R227">
            <v>2790</v>
          </cell>
          <cell r="S227">
            <v>1</v>
          </cell>
        </row>
        <row r="228">
          <cell r="C228" t="str">
            <v>DZZ45147</v>
          </cell>
          <cell r="D228" t="str">
            <v>SOPRO智慧吊燈
(停售)</v>
          </cell>
          <cell r="E228">
            <v>83.002279999999999</v>
          </cell>
          <cell r="F228">
            <v>75</v>
          </cell>
          <cell r="G228" t="str">
            <v>超薄智能射燈 S3（7W 24°）
需配置Mixpad 使用</v>
          </cell>
          <cell r="H228"/>
          <cell r="I228"/>
          <cell r="J228"/>
          <cell r="K228" t="str">
            <v>顆</v>
          </cell>
          <cell r="L228">
            <v>162.32</v>
          </cell>
          <cell r="M228">
            <v>162</v>
          </cell>
          <cell r="N228">
            <v>162</v>
          </cell>
          <cell r="O228">
            <v>175.3056</v>
          </cell>
          <cell r="P228">
            <v>4.5</v>
          </cell>
          <cell r="Q228">
            <v>4.5</v>
          </cell>
          <cell r="R228">
            <v>506.25</v>
          </cell>
          <cell r="S228">
            <v>1</v>
          </cell>
        </row>
        <row r="229">
          <cell r="C229" t="str">
            <v>DSZ12129</v>
          </cell>
          <cell r="D229" t="str">
            <v>蒼芎投射燈
(停售)</v>
          </cell>
          <cell r="E229">
            <v>47969.002289999997</v>
          </cell>
          <cell r="F229">
            <v>258</v>
          </cell>
          <cell r="G229" t="str">
            <v>超薄智能射燈 S3（7W 36°）
需配置Mixpad 使用</v>
          </cell>
          <cell r="H229" t="str">
            <v>電源供應器：AC220-240V 50Hz
尺寸：φ85*H103.5mm
開孔尺寸： φ75mm
光束角：36°
額定功率：12W
光通量：&gt;600lm
顯色指數&gt;90Ra
色溫範圍：1800K-20000K
RGBCW COB</v>
          </cell>
          <cell r="I229"/>
          <cell r="J229"/>
          <cell r="K229" t="str">
            <v>顆</v>
          </cell>
          <cell r="L229">
            <v>53</v>
          </cell>
          <cell r="M229">
            <v>53</v>
          </cell>
          <cell r="N229">
            <v>53</v>
          </cell>
          <cell r="O229">
            <v>57.24</v>
          </cell>
          <cell r="P229">
            <v>0.63</v>
          </cell>
          <cell r="Q229">
            <v>0.63</v>
          </cell>
          <cell r="R229">
            <v>70.875</v>
          </cell>
          <cell r="S229">
            <v>1</v>
          </cell>
        </row>
        <row r="230">
          <cell r="C230" t="str">
            <v>DSZ12136</v>
          </cell>
          <cell r="D230" t="str">
            <v>蒼芎崁燈
(停售)</v>
          </cell>
          <cell r="E230">
            <v>47969.0023</v>
          </cell>
          <cell r="F230">
            <v>259</v>
          </cell>
          <cell r="G230" t="str">
            <v>超薄智慧投射燈7W 24°S
1
(停產)</v>
          </cell>
          <cell r="H230" t="str">
            <v>電源供應器：AC220-240V 50Hz
尺寸：φ85*H95mm
開孔尺寸： φ75mm
光束角：70°
額定功率：12W
光通量：&gt;480lm
顯色指數&gt;90Ra
色溫範圍：1800K-20000K
RGBCW COB</v>
          </cell>
          <cell r="I230"/>
          <cell r="J230"/>
          <cell r="K230" t="str">
            <v>顆</v>
          </cell>
          <cell r="L230">
            <v>51</v>
          </cell>
          <cell r="M230">
            <v>51</v>
          </cell>
          <cell r="N230">
            <v>51</v>
          </cell>
          <cell r="O230">
            <v>55.080000000000005</v>
          </cell>
          <cell r="P230"/>
          <cell r="Q230">
            <v>0.3</v>
          </cell>
          <cell r="R230">
            <v>33.75</v>
          </cell>
          <cell r="S230">
            <v>1</v>
          </cell>
        </row>
        <row r="231">
          <cell r="C231" t="str">
            <v>DLW38074</v>
          </cell>
          <cell r="D231" t="str">
            <v>HDMI氛圍燈帶（120Hz）
(停售)</v>
          </cell>
          <cell r="E231">
            <v>72.002309999999994</v>
          </cell>
          <cell r="F231">
            <v>18</v>
          </cell>
          <cell r="G231" t="str">
            <v>超薄智慧崁燈7W 105°S1
(停產)</v>
          </cell>
          <cell r="H231" t="str">
            <v>電源：交流100-240V～50/60Hz
規格：3.06m/條，共2條
功率：38W（LED：144顆/條）
適配器電纜長度：1.5m
支援最高刷新率：1920x1080P@120Hz
顏色：RGB
相容螢幕尺寸&lt;90吋且解析度&gt;720P的電視或顯示器</v>
          </cell>
          <cell r="I231"/>
          <cell r="J231"/>
          <cell r="K231" t="str">
            <v>組</v>
          </cell>
          <cell r="L231">
            <v>143</v>
          </cell>
          <cell r="M231">
            <v>143</v>
          </cell>
          <cell r="N231">
            <v>143</v>
          </cell>
          <cell r="O231">
            <v>154.44</v>
          </cell>
          <cell r="P231">
            <v>1.04</v>
          </cell>
          <cell r="Q231">
            <v>1.04</v>
          </cell>
          <cell r="R231">
            <v>117</v>
          </cell>
          <cell r="S231">
            <v>1</v>
          </cell>
        </row>
        <row r="232">
          <cell r="C232" t="str">
            <v xml:space="preserve">T40W1ZG
</v>
          </cell>
          <cell r="D232" t="str">
            <v xml:space="preserve">MixSwitch 開關一切-金
</v>
          </cell>
          <cell r="E232">
            <v>77.002319999999997</v>
          </cell>
          <cell r="F232">
            <v>58</v>
          </cell>
          <cell r="G232" t="str">
            <v>感應器控制盒</v>
          </cell>
          <cell r="H232" t="str">
            <v>尺寸：86*86*32mm
電源供應器：AC110-250V，50/60Hz
最大限度。負載：400W/組
工作溫度：-20℃~60℃
工作濕度：&lt;80%</v>
          </cell>
          <cell r="I232" t="str">
            <v>需提供零線(N)-白線
採用86底盒安裝(智崴提供)</v>
          </cell>
          <cell r="J232"/>
          <cell r="K232" t="str">
            <v>顆</v>
          </cell>
          <cell r="L232">
            <v>22</v>
          </cell>
          <cell r="M232"/>
          <cell r="N232">
            <v>22</v>
          </cell>
          <cell r="O232">
            <v>23.76</v>
          </cell>
          <cell r="P232"/>
          <cell r="Q232">
            <v>0.3</v>
          </cell>
          <cell r="R232">
            <v>33.75</v>
          </cell>
          <cell r="S232">
            <v>3</v>
          </cell>
        </row>
        <row r="233">
          <cell r="C233" t="str">
            <v>T40W2ZG</v>
          </cell>
          <cell r="D233" t="str">
            <v>MixSwitch 開關二切-金</v>
          </cell>
          <cell r="E233">
            <v>77.002330000000001</v>
          </cell>
          <cell r="F233">
            <v>59</v>
          </cell>
          <cell r="G233" t="str">
            <v>溫溼度感應器-ZigBee</v>
          </cell>
          <cell r="H233" t="str">
            <v>尺寸：86*86*32mm
電源供應器：AC110-250V，50/60Hz
最大限度。負載：400W/組
工作溫度：-20℃~60℃
工作濕度：&lt;80%</v>
          </cell>
          <cell r="I233" t="str">
            <v>需提供零線(N)-白線
採用86底盒安裝(智崴提供)</v>
          </cell>
          <cell r="J233"/>
          <cell r="K233" t="str">
            <v>顆</v>
          </cell>
          <cell r="L233">
            <v>24</v>
          </cell>
          <cell r="M233">
            <v>24</v>
          </cell>
          <cell r="N233">
            <v>24</v>
          </cell>
          <cell r="O233">
            <v>25.92</v>
          </cell>
          <cell r="P233">
            <v>0.3</v>
          </cell>
          <cell r="Q233">
            <v>0.3</v>
          </cell>
          <cell r="R233">
            <v>33.75</v>
          </cell>
          <cell r="S233">
            <v>3</v>
          </cell>
        </row>
        <row r="234">
          <cell r="C234" t="str">
            <v>T40W3ZG</v>
          </cell>
          <cell r="D234" t="str">
            <v>MixSwitch 開關三切-金</v>
          </cell>
          <cell r="E234">
            <v>77.002340000000004</v>
          </cell>
          <cell r="F234">
            <v>60</v>
          </cell>
          <cell r="G234" t="str">
            <v>煙霧感應器-ZigBee</v>
          </cell>
          <cell r="H234" t="str">
            <v>尺寸：86*86*32mm
電源供應器：AC110-250V，50/60Hz
最大限度。負載：400W/組
工作溫度：-20℃~60℃
工作濕度：&lt;80%</v>
          </cell>
          <cell r="I234" t="str">
            <v>需提供零線(N)-白線
採用86底盒安裝(智崴提供)</v>
          </cell>
          <cell r="J234"/>
          <cell r="K234" t="str">
            <v>顆</v>
          </cell>
          <cell r="L234">
            <v>25</v>
          </cell>
          <cell r="M234">
            <v>25</v>
          </cell>
          <cell r="N234">
            <v>25</v>
          </cell>
          <cell r="O234">
            <v>27</v>
          </cell>
          <cell r="P234">
            <v>0.3</v>
          </cell>
          <cell r="Q234">
            <v>0.3</v>
          </cell>
          <cell r="R234">
            <v>33.75</v>
          </cell>
          <cell r="S234">
            <v>3</v>
          </cell>
        </row>
        <row r="235">
          <cell r="C235" t="str">
            <v>T40W4ZG</v>
          </cell>
          <cell r="D235" t="str">
            <v>MixSwitch 開關四切-金</v>
          </cell>
          <cell r="E235">
            <v>77.002350000000007</v>
          </cell>
          <cell r="F235">
            <v>61</v>
          </cell>
          <cell r="G235" t="str">
            <v>經典一開開關
(停產)</v>
          </cell>
          <cell r="H235" t="str">
            <v>尺寸：86*86*33mm
電源供應器：AC110-250V，50Hz
最大限度。負載：400W/組
工作溫度：-20℃~60℃
工作濕度：&lt;80%</v>
          </cell>
          <cell r="I235" t="str">
            <v>需提供零線(N)-白線
採用86底盒安裝(智崴提供)</v>
          </cell>
          <cell r="J235"/>
          <cell r="K235" t="str">
            <v>顆</v>
          </cell>
          <cell r="L235">
            <v>26</v>
          </cell>
          <cell r="M235">
            <v>26</v>
          </cell>
          <cell r="N235">
            <v>26</v>
          </cell>
          <cell r="O235">
            <v>28.080000000000002</v>
          </cell>
          <cell r="P235">
            <v>0.22</v>
          </cell>
          <cell r="Q235">
            <v>0.22</v>
          </cell>
          <cell r="R235">
            <v>24.75</v>
          </cell>
          <cell r="S235">
            <v>3</v>
          </cell>
        </row>
        <row r="236">
          <cell r="C236" t="str">
            <v>S2</v>
          </cell>
          <cell r="D236" t="str">
            <v>智慧門鎖S2-WiFi版
(停售)</v>
          </cell>
          <cell r="E236">
            <v>46268.002359999999</v>
          </cell>
          <cell r="F236">
            <v>225</v>
          </cell>
          <cell r="G236" t="str">
            <v>經典二開開關
(停產)</v>
          </cell>
          <cell r="H236" t="str">
            <v>尺寸：337*67*71.3mm
電源：DC 7.5V（5*2顆AA電池）
應急電源：DC 5V，C型
支援門板厚度：40~120mm（標準：50~90mm)
工作溫度：-20～60℃</v>
          </cell>
          <cell r="I236"/>
          <cell r="J236"/>
          <cell r="K236" t="str">
            <v>把</v>
          </cell>
          <cell r="L236">
            <v>85.54</v>
          </cell>
          <cell r="M236">
            <v>85.542857142857102</v>
          </cell>
          <cell r="N236">
            <v>85.542857142857102</v>
          </cell>
          <cell r="O236">
            <v>92.383200000000016</v>
          </cell>
          <cell r="P236">
            <v>5.94</v>
          </cell>
          <cell r="Q236">
            <v>5.94</v>
          </cell>
          <cell r="R236">
            <v>668.25</v>
          </cell>
          <cell r="S236">
            <v>15</v>
          </cell>
        </row>
        <row r="237">
          <cell r="C237" t="str">
            <v>V5-W</v>
          </cell>
          <cell r="D237" t="str">
            <v>智慧門鎖V5(木)
(停售)</v>
          </cell>
          <cell r="E237">
            <v>46268.002370000002</v>
          </cell>
          <cell r="F237">
            <v>226</v>
          </cell>
          <cell r="G237" t="str">
            <v>經典三開開關
(停產)</v>
          </cell>
          <cell r="H237"/>
          <cell r="I237"/>
          <cell r="J237"/>
          <cell r="K237" t="str">
            <v>把</v>
          </cell>
          <cell r="L237">
            <v>285.71428571428572</v>
          </cell>
          <cell r="M237"/>
          <cell r="N237">
            <v>285.71428571428572</v>
          </cell>
          <cell r="O237">
            <v>308.57142857142861</v>
          </cell>
          <cell r="P237"/>
          <cell r="Q237">
            <v>0</v>
          </cell>
          <cell r="R237">
            <v>0</v>
          </cell>
          <cell r="S237">
            <v>15</v>
          </cell>
        </row>
        <row r="238">
          <cell r="C238" t="str">
            <v>B10W8</v>
          </cell>
          <cell r="D238" t="str">
            <v>MixSwitch 巴赫
八切智慧開關-金
(停售)</v>
          </cell>
          <cell r="E238">
            <v>77.002380000000002</v>
          </cell>
          <cell r="F238">
            <v>62</v>
          </cell>
          <cell r="G238" t="str">
            <v>經典情境開關
(停產)</v>
          </cell>
          <cell r="H238" t="str">
            <v>尺寸：86 x 86 x 38.3 毫米
前面板：塑膠面板，需更換為金屬面板
電源供應器：AC100-240V，50/60Hz
最大限度。負載：800W/路（四路合計小於1200W）</v>
          </cell>
          <cell r="I238" t="str">
            <v>需提供零線(N)-白線
採用86底盒安裝(智崴提供)</v>
          </cell>
          <cell r="J238"/>
          <cell r="K238" t="str">
            <v>顆</v>
          </cell>
          <cell r="L238">
            <v>57</v>
          </cell>
          <cell r="M238">
            <v>57</v>
          </cell>
          <cell r="N238">
            <v>57</v>
          </cell>
          <cell r="O238">
            <v>61.56</v>
          </cell>
          <cell r="P238">
            <v>0.22</v>
          </cell>
          <cell r="Q238">
            <v>0.22</v>
          </cell>
          <cell r="R238">
            <v>24.75</v>
          </cell>
          <cell r="S238">
            <v>1</v>
          </cell>
        </row>
        <row r="239">
          <cell r="C239" t="str">
            <v>B10W4</v>
          </cell>
          <cell r="D239" t="str">
            <v>MixSwitch 巴赫
四切智慧開關-金
(停售)</v>
          </cell>
          <cell r="E239">
            <v>77.002390000000005</v>
          </cell>
          <cell r="F239">
            <v>63</v>
          </cell>
          <cell r="G239" t="str">
            <v>電動窗簾馬達與軌道
含3米內軌道
(停產)</v>
          </cell>
          <cell r="H239" t="str">
            <v>尺寸：86 x 86 x 38.3 毫米
前面板：塑膠面板，需更換為金屬面板
電源供應器：AC100-240V，50/60Hz
最大限度。負載：800W/路（四路合計小於1200W）</v>
          </cell>
          <cell r="I239" t="str">
            <v>需提供零線(N)-白線
採用86底盒安裝(智崴提供)</v>
          </cell>
          <cell r="J239"/>
          <cell r="K239" t="str">
            <v>顆</v>
          </cell>
          <cell r="L239">
            <v>52</v>
          </cell>
          <cell r="M239">
            <v>52</v>
          </cell>
          <cell r="N239">
            <v>52</v>
          </cell>
          <cell r="O239">
            <v>56.160000000000004</v>
          </cell>
          <cell r="P239">
            <v>0.21</v>
          </cell>
          <cell r="Q239">
            <v>0.21</v>
          </cell>
          <cell r="R239">
            <v>23.625</v>
          </cell>
          <cell r="S239">
            <v>1</v>
          </cell>
        </row>
        <row r="240">
          <cell r="C240" t="str">
            <v>DSZ07053</v>
          </cell>
          <cell r="D240" t="str">
            <v>SOPRO 投射燈-方形-7W15°</v>
          </cell>
          <cell r="E240">
            <v>83.002399999999994</v>
          </cell>
          <cell r="F240">
            <v>76</v>
          </cell>
          <cell r="G240" t="str">
            <v>電動窗臉軌道</v>
          </cell>
          <cell r="H240" t="str">
            <v>開孔尺寸：55*55mm
尺寸：長67*寬67*高81mm
表面：黑色、白色
顯色指數（CRI）：Ra&gt;95
統一眩光等級（UGR）：UGR&lt;9
光束角度：15°
功率：7W
光通量：&gt;350lm
色溫範圍：2700K~6000K
調光：PWM數位調光
調光頻率：3.84kHz</v>
          </cell>
          <cell r="I240" t="str">
            <v>開孔尺寸55*55mm</v>
          </cell>
          <cell r="J240"/>
          <cell r="K240" t="str">
            <v>顆</v>
          </cell>
          <cell r="L240">
            <v>30.46</v>
          </cell>
          <cell r="M240"/>
          <cell r="N240">
            <v>30.46</v>
          </cell>
          <cell r="O240">
            <v>32.896800000000006</v>
          </cell>
          <cell r="P240">
            <v>0.42</v>
          </cell>
          <cell r="Q240">
            <v>0.42</v>
          </cell>
          <cell r="R240">
            <v>47.25</v>
          </cell>
          <cell r="S240">
            <v>1</v>
          </cell>
        </row>
        <row r="241">
          <cell r="C241" t="str">
            <v>DSZ07049</v>
          </cell>
          <cell r="D241" t="str">
            <v>SOPRO 投射燈-方形-7W24°</v>
          </cell>
          <cell r="E241">
            <v>83.002409999999998</v>
          </cell>
          <cell r="F241">
            <v>77</v>
          </cell>
          <cell r="G241" t="str">
            <v>夢幻簾電動窗簾馬達</v>
          </cell>
          <cell r="H241" t="str">
            <v>開孔尺寸：55*55mm
尺寸：長67*寬67*高81mm
表面：黑色、白色
顯色指數（CRI）：Ra&gt;95
統一眩光等級（UGR）：UGR&lt;9
光束角度：24°
功率：7W
光通量：&gt;350lm
色溫範圍：2700K~6000K
調光：PWM數位調光
調光頻率：3.84kHz</v>
          </cell>
          <cell r="I241" t="str">
            <v>開孔尺寸55*55mm</v>
          </cell>
          <cell r="J241"/>
          <cell r="K241" t="str">
            <v>顆</v>
          </cell>
          <cell r="L241">
            <v>30.46</v>
          </cell>
          <cell r="M241"/>
          <cell r="N241">
            <v>30.46</v>
          </cell>
          <cell r="O241">
            <v>32.896800000000006</v>
          </cell>
          <cell r="P241">
            <v>0.43</v>
          </cell>
          <cell r="Q241">
            <v>0.43</v>
          </cell>
          <cell r="R241">
            <v>48.375</v>
          </cell>
          <cell r="S241">
            <v>1</v>
          </cell>
        </row>
        <row r="242">
          <cell r="C242" t="str">
            <v>DSZ07050</v>
          </cell>
          <cell r="D242" t="str">
            <v>SOPRO 投射燈-方形-7W36°</v>
          </cell>
          <cell r="E242">
            <v>83.002420000000001</v>
          </cell>
          <cell r="F242">
            <v>78</v>
          </cell>
          <cell r="G242" t="str">
            <v>夢幻簾電動窗簾軌道</v>
          </cell>
          <cell r="H242" t="str">
            <v>開孔尺寸：55*55mm
尺寸：長67*寬67*高81mm
表面：黑色、白色
顯色指數（CRI）：Ra&gt;95
統一眩光等級（UGR）：UGR&lt;9
光束角度：36°
功率：7W
光通量：&gt;350lm
色溫範圍：2700K~6000K
調光：PWM數位調光
調光頻率：3.84kHz</v>
          </cell>
          <cell r="I242" t="str">
            <v>開孔尺寸55*55mm</v>
          </cell>
          <cell r="J242"/>
          <cell r="K242" t="str">
            <v>顆</v>
          </cell>
          <cell r="L242">
            <v>30.46</v>
          </cell>
          <cell r="M242"/>
          <cell r="N242">
            <v>30.46</v>
          </cell>
          <cell r="O242">
            <v>32.896800000000006</v>
          </cell>
          <cell r="P242">
            <v>0.43</v>
          </cell>
          <cell r="Q242">
            <v>0.43</v>
          </cell>
          <cell r="R242">
            <v>48.375</v>
          </cell>
          <cell r="S242">
            <v>1</v>
          </cell>
        </row>
        <row r="243">
          <cell r="C243" t="str">
            <v>DSZ12054</v>
          </cell>
          <cell r="D243" t="str">
            <v>SOPRO 投射燈-方形-12W15°</v>
          </cell>
          <cell r="E243">
            <v>83.002430000000004</v>
          </cell>
          <cell r="F243">
            <v>79</v>
          </cell>
          <cell r="G243" t="str">
            <v>摺距60</v>
          </cell>
          <cell r="H243" t="str">
            <v>開孔尺寸：75*75mm
尺寸：長85*寬85*高106mm
表面：黑色、白色
顯色指數（CRI）：Ra&gt;95
統一眩光等級（UGR）：UGR&lt;9
光束角度：15°
功率：12W
光通量：&gt;600lm
色溫範圍：2700K~6000K
調光：PWM數位調光
調光頻率：3.84kHz</v>
          </cell>
          <cell r="I243" t="str">
            <v>開孔尺寸75*75mm</v>
          </cell>
          <cell r="J243"/>
          <cell r="K243" t="str">
            <v>顆</v>
          </cell>
          <cell r="L243">
            <v>38.92</v>
          </cell>
          <cell r="M243"/>
          <cell r="N243">
            <v>38.92</v>
          </cell>
          <cell r="O243">
            <v>42.033600000000007</v>
          </cell>
          <cell r="P243">
            <v>0.61</v>
          </cell>
          <cell r="Q243">
            <v>0.61</v>
          </cell>
          <cell r="R243">
            <v>68.625</v>
          </cell>
          <cell r="S243">
            <v>1</v>
          </cell>
        </row>
        <row r="244">
          <cell r="C244" t="str">
            <v>DSZ12051</v>
          </cell>
          <cell r="D244" t="str">
            <v>SOPRO 投射燈-方形-12W24°</v>
          </cell>
          <cell r="E244">
            <v>83.002440000000007</v>
          </cell>
          <cell r="F244">
            <v>80</v>
          </cell>
          <cell r="G244" t="str">
            <v>摺距70</v>
          </cell>
          <cell r="H244" t="str">
            <v>開孔尺寸：75*75mm
尺寸：長85*寬85*高106mm
表面：黑色、白色
顯色指數（CRI）：Ra&gt;95
統一眩光等級（UGR）：UGR&lt;9
光束角度：24°
功率：12W
光通量：&gt;600lm
色溫範圍：2700K~6000K
調光：PWM數位調光
調光頻率：3.84kHz</v>
          </cell>
          <cell r="I244" t="str">
            <v>開孔尺寸75*75mm</v>
          </cell>
          <cell r="J244"/>
          <cell r="K244" t="str">
            <v>顆</v>
          </cell>
          <cell r="L244">
            <v>38.92</v>
          </cell>
          <cell r="M244"/>
          <cell r="N244">
            <v>38.92</v>
          </cell>
          <cell r="O244">
            <v>42.033600000000007</v>
          </cell>
          <cell r="P244">
            <v>0.61</v>
          </cell>
          <cell r="Q244">
            <v>0.61</v>
          </cell>
          <cell r="R244">
            <v>68.625</v>
          </cell>
          <cell r="S244">
            <v>1</v>
          </cell>
        </row>
        <row r="245">
          <cell r="C245" t="str">
            <v>DSZ12052</v>
          </cell>
          <cell r="D245" t="str">
            <v>SOPRO 投射燈-方形-12W36°</v>
          </cell>
          <cell r="E245">
            <v>83.002449999999996</v>
          </cell>
          <cell r="F245">
            <v>81</v>
          </cell>
          <cell r="G245" t="str">
            <v>監控硬碟2T</v>
          </cell>
          <cell r="H245" t="str">
            <v>開孔尺寸：75*75mm
尺寸：長85*寬85*高106mm
表面：黑色、白色
顯色指數（CRI）：Ra&gt;95
統一眩光等級（UGR）：UGR&lt;9
光束角度：36°
功率：12W
光通量：&gt;600lm
色溫範圍：2700K~6000K
調光：PWM數位調光
調光頻率：3.84kHz</v>
          </cell>
          <cell r="I245" t="str">
            <v>開孔尺寸75*75mm</v>
          </cell>
          <cell r="J245"/>
          <cell r="K245" t="str">
            <v>顆</v>
          </cell>
          <cell r="L245">
            <v>38.92</v>
          </cell>
          <cell r="M245"/>
          <cell r="N245">
            <v>38.92</v>
          </cell>
          <cell r="O245">
            <v>42.033600000000007</v>
          </cell>
          <cell r="P245">
            <v>0.61</v>
          </cell>
          <cell r="Q245">
            <v>0.61</v>
          </cell>
          <cell r="R245">
            <v>68.625</v>
          </cell>
          <cell r="S245">
            <v>1</v>
          </cell>
        </row>
        <row r="246">
          <cell r="C246" t="str">
            <v>DSZ07067</v>
          </cell>
          <cell r="D246" t="str">
            <v>SOPRO 投射燈-圓形-7W15°(無框)</v>
          </cell>
          <cell r="E246">
            <v>83.002459999999999</v>
          </cell>
          <cell r="F246">
            <v>82</v>
          </cell>
          <cell r="G246" t="str">
            <v>監控硬碟4T</v>
          </cell>
          <cell r="H246" t="str">
            <v>開孔尺寸：φ55mm
尺寸：φ78* H77mm
表面：黑色、白色
顯色指數（CRI）：Ra&gt;95
統一眩光等級（UGR）：UGR&lt;9
光束角度：15°
功率：7W
光通量：&gt;350lm
色溫範圍：2700K~6000K
調光：PWM數位調光
調光頻率：3.84kHz</v>
          </cell>
          <cell r="I246" t="str">
            <v>開孔尺寸55mm</v>
          </cell>
          <cell r="J246"/>
          <cell r="K246" t="str">
            <v>顆</v>
          </cell>
          <cell r="L246">
            <v>30.46</v>
          </cell>
          <cell r="M246"/>
          <cell r="N246">
            <v>30.46</v>
          </cell>
          <cell r="O246">
            <v>32.896800000000006</v>
          </cell>
          <cell r="P246">
            <v>0.41</v>
          </cell>
          <cell r="Q246">
            <v>0.41</v>
          </cell>
          <cell r="R246">
            <v>46.125</v>
          </cell>
          <cell r="S246">
            <v>1</v>
          </cell>
        </row>
        <row r="247">
          <cell r="C247" t="str">
            <v>DSZ07069</v>
          </cell>
          <cell r="D247" t="str">
            <v>SOPRO 投射燈-圓形-7W24°(無框)</v>
          </cell>
          <cell r="E247">
            <v>83.002470000000002</v>
          </cell>
          <cell r="F247">
            <v>83</v>
          </cell>
          <cell r="G247" t="str">
            <v>監控硬碟6T</v>
          </cell>
          <cell r="H247" t="str">
            <v>開孔尺寸：φ55mm
尺寸：φ78* H77mm
表面：黑色、白色
顯色指數（CRI）：Ra&gt;95
統一眩光等級（UGR）：UGR&lt;9
光束角度：24°
功率：7W
光通量：&gt;350lm
色溫範圍：2700K~6000K
調光：PWM數位調光
調光頻率：3.84kHz</v>
          </cell>
          <cell r="I247" t="str">
            <v>開孔尺寸55mm</v>
          </cell>
          <cell r="J247"/>
          <cell r="K247" t="str">
            <v>顆</v>
          </cell>
          <cell r="L247">
            <v>30.46</v>
          </cell>
          <cell r="M247"/>
          <cell r="N247">
            <v>30.46</v>
          </cell>
          <cell r="O247">
            <v>32.896800000000006</v>
          </cell>
          <cell r="P247">
            <v>0.41</v>
          </cell>
          <cell r="Q247">
            <v>0.41</v>
          </cell>
          <cell r="R247">
            <v>46.125</v>
          </cell>
          <cell r="S247">
            <v>1</v>
          </cell>
        </row>
        <row r="248">
          <cell r="C248" t="str">
            <v>DSZ07071</v>
          </cell>
          <cell r="D248" t="str">
            <v>SOPRO 投射燈-圓形-7W36°(無框)</v>
          </cell>
          <cell r="E248">
            <v>83.002480000000006</v>
          </cell>
          <cell r="F248">
            <v>84</v>
          </cell>
          <cell r="G248" t="str">
            <v>監控硬碟8T</v>
          </cell>
          <cell r="H248" t="str">
            <v>開孔尺寸：φ55mm
尺寸：φ78* H77mm
表面：黑色、白色
顯色指數（CRI）：Ra&gt;95
統一眩光等級（UGR）：UGR&lt;9
光束角度：36°
功率：7W
光通量：&gt;350lm
色溫範圍：2700K~6000K
調光：PWM數位調光
調光頻率：3.84kHz</v>
          </cell>
          <cell r="I248" t="str">
            <v>開孔尺寸55mm</v>
          </cell>
          <cell r="J248"/>
          <cell r="K248" t="str">
            <v>顆</v>
          </cell>
          <cell r="L248">
            <v>30.46</v>
          </cell>
          <cell r="M248"/>
          <cell r="N248">
            <v>30.46</v>
          </cell>
          <cell r="O248">
            <v>32.896800000000006</v>
          </cell>
          <cell r="P248">
            <v>0.41</v>
          </cell>
          <cell r="Q248">
            <v>0.41</v>
          </cell>
          <cell r="R248">
            <v>46.125</v>
          </cell>
          <cell r="S248">
            <v>1</v>
          </cell>
        </row>
        <row r="249">
          <cell r="C249" t="str">
            <v>DSZ12068</v>
          </cell>
          <cell r="D249" t="str">
            <v>SOPRO 投射燈-圓形-12W15°(無框)</v>
          </cell>
          <cell r="E249">
            <v>83.002489999999995</v>
          </cell>
          <cell r="F249">
            <v>85</v>
          </cell>
          <cell r="G249" t="str">
            <v>磁性燈 L 型連接器 B（外角）</v>
          </cell>
          <cell r="H249" t="str">
            <v>開孔尺寸：φ75mm
尺寸：φ100* H106mm
表面：黑色、白色
顯色指數（CRI）：Ra&gt;95
統一眩光等級（UGR）：UGR&lt;9
光束角度：15°
功率：12W
光通量：&gt;600lm
色溫範圍：2700K~6000K
調光：PWM數位調光
調光頻率：3.84kHz</v>
          </cell>
          <cell r="I249" t="str">
            <v>開孔尺寸75mm</v>
          </cell>
          <cell r="J249"/>
          <cell r="K249" t="str">
            <v>顆</v>
          </cell>
          <cell r="L249">
            <v>38.92</v>
          </cell>
          <cell r="M249"/>
          <cell r="N249">
            <v>38.92</v>
          </cell>
          <cell r="O249">
            <v>42.033600000000007</v>
          </cell>
          <cell r="P249">
            <v>0.57999999999999996</v>
          </cell>
          <cell r="Q249">
            <v>0.57999999999999996</v>
          </cell>
          <cell r="R249">
            <v>65.249999999999986</v>
          </cell>
          <cell r="S249">
            <v>1</v>
          </cell>
        </row>
        <row r="250">
          <cell r="C250" t="str">
            <v>DSZ12070</v>
          </cell>
          <cell r="D250" t="str">
            <v>SOPRO 投射燈-圓形-12W24°(無框)</v>
          </cell>
          <cell r="E250">
            <v>83.002499999999998</v>
          </cell>
          <cell r="F250">
            <v>86</v>
          </cell>
          <cell r="G250" t="str">
            <v>磁性燈 L 型連接器 B（平角）</v>
          </cell>
          <cell r="H250" t="str">
            <v>開孔尺寸：φ75mm
尺寸：φ100* H106mm
表面：黑色、白色
顯色指數（CRI）：Ra&gt;95
統一眩光等級（UGR）：UGR&lt;9
光束角度：24°
功率：12W
光通量：&gt;600lm
色溫範圍：2700K~6000K
調光：PWM數位調光
調光頻率：3.84kHz</v>
          </cell>
          <cell r="I250" t="str">
            <v>開孔尺寸75mm</v>
          </cell>
          <cell r="J250"/>
          <cell r="K250" t="str">
            <v>顆</v>
          </cell>
          <cell r="L250">
            <v>38.92</v>
          </cell>
          <cell r="M250"/>
          <cell r="N250">
            <v>38.92</v>
          </cell>
          <cell r="O250">
            <v>42.033600000000007</v>
          </cell>
          <cell r="P250">
            <v>0.57999999999999996</v>
          </cell>
          <cell r="Q250">
            <v>0.57999999999999996</v>
          </cell>
          <cell r="R250">
            <v>65.249999999999986</v>
          </cell>
          <cell r="S250">
            <v>1</v>
          </cell>
        </row>
        <row r="251">
          <cell r="C251" t="str">
            <v>DSZ12072</v>
          </cell>
          <cell r="D251" t="str">
            <v>SOPRO 投射燈-圓形-12W36°(無框)</v>
          </cell>
          <cell r="E251">
            <v>83.002510000000001</v>
          </cell>
          <cell r="F251">
            <v>87</v>
          </cell>
          <cell r="G251" t="str">
            <v>磁性燈 L 型連接器 B（內角）</v>
          </cell>
          <cell r="H251" t="str">
            <v>開孔尺寸：φ75mm
尺寸：φ100* H106mm
表面：黑色、白色
顯色指數（CRI）：Ra&gt;95
統一眩光等級（UGR）：UGR&lt;9
光束角度：36°
功率：12W
光通量：&gt;600lm
色溫範圍：2700K~6000K
調光：PWM數位調光
調光頻率：3.84kHz</v>
          </cell>
          <cell r="I251" t="str">
            <v>開孔尺寸75mm</v>
          </cell>
          <cell r="J251"/>
          <cell r="K251" t="str">
            <v>顆</v>
          </cell>
          <cell r="L251">
            <v>38.92</v>
          </cell>
          <cell r="M251"/>
          <cell r="N251">
            <v>38.92</v>
          </cell>
          <cell r="O251">
            <v>42.033600000000007</v>
          </cell>
          <cell r="P251">
            <v>0.59</v>
          </cell>
          <cell r="Q251">
            <v>0.59</v>
          </cell>
          <cell r="R251">
            <v>66.375</v>
          </cell>
          <cell r="S251">
            <v>1</v>
          </cell>
        </row>
        <row r="252">
          <cell r="C252" t="str">
            <v>DSZ07065</v>
          </cell>
          <cell r="D252" t="str">
            <v>SOPRO 投射燈-方形-7W15°(無框)</v>
          </cell>
          <cell r="E252">
            <v>83.002520000000004</v>
          </cell>
          <cell r="F252">
            <v>88</v>
          </cell>
          <cell r="G252" t="str">
            <v>精靈超靜音智慧窗簾電機（含遙控器）</v>
          </cell>
          <cell r="H252" t="str">
            <v>開孔尺寸：55*55mm
尺寸：長78*寬78*高81mm
表面：黑色、白色
顯色指數（CRI）：Ra&gt;95
統一眩光等級（UGR）：UGR&lt;9
光束角度：15°
功率：7W
光通量：&gt;350lm
色溫範圍：2700K~6000K
調光：PWM數位調光
調光頻率：3.84kHz</v>
          </cell>
          <cell r="I252" t="str">
            <v>開孔尺寸55*55mm</v>
          </cell>
          <cell r="J252"/>
          <cell r="K252" t="str">
            <v>顆</v>
          </cell>
          <cell r="L252">
            <v>30.46</v>
          </cell>
          <cell r="M252"/>
          <cell r="N252">
            <v>30.46</v>
          </cell>
          <cell r="O252">
            <v>32.896800000000006</v>
          </cell>
          <cell r="P252"/>
          <cell r="Q252">
            <v>0</v>
          </cell>
          <cell r="R252">
            <v>0</v>
          </cell>
          <cell r="S252">
            <v>1</v>
          </cell>
        </row>
        <row r="253">
          <cell r="C253" t="str">
            <v>DSZ07063</v>
          </cell>
          <cell r="D253" t="str">
            <v>SOPRO 投射燈-方形-7W24°(無框)</v>
          </cell>
          <cell r="E253">
            <v>83.002529999999993</v>
          </cell>
          <cell r="F253">
            <v>89</v>
          </cell>
          <cell r="G253" t="str">
            <v>蒼芎智慧燈條(5M)</v>
          </cell>
          <cell r="H253" t="str">
            <v>開孔尺寸：55*55mm
尺寸：長78*寬78*高81mm
表面：黑色、白色
顯色指數（CRI）：Ra&gt;95
統一眩光等級（UGR）：UGR&lt;9
光束角度：24°
功率：7W
光通量：&gt;350lm
色溫範圍：2700K~6000K
調光：PWM數位調光
調光頻率：3.84kHz</v>
          </cell>
          <cell r="I253" t="str">
            <v>開孔尺寸55*55mm</v>
          </cell>
          <cell r="J253"/>
          <cell r="K253" t="str">
            <v>顆</v>
          </cell>
          <cell r="L253">
            <v>30.46</v>
          </cell>
          <cell r="M253"/>
          <cell r="N253">
            <v>30.46</v>
          </cell>
          <cell r="O253">
            <v>32.896800000000006</v>
          </cell>
          <cell r="P253">
            <v>0.47</v>
          </cell>
          <cell r="Q253">
            <v>0.47</v>
          </cell>
          <cell r="R253">
            <v>52.875</v>
          </cell>
          <cell r="S253">
            <v>1</v>
          </cell>
        </row>
        <row r="254">
          <cell r="C254" t="str">
            <v>DSZ07064</v>
          </cell>
          <cell r="D254" t="str">
            <v>SOPRO 投射燈-方形-7W36°(無框)</v>
          </cell>
          <cell r="E254">
            <v>83.002539999999996</v>
          </cell>
          <cell r="F254">
            <v>90</v>
          </cell>
          <cell r="G254" t="str">
            <v>蒼芎燈條1m延伸</v>
          </cell>
          <cell r="H254" t="str">
            <v>開孔尺寸：55*55mm
尺寸：長78*寬78*高81mm
表面：黑色、白色
顯色指數（CRI）：Ra&gt;95
統一眩光等級（UGR）：UGR&lt;9
光束角度：36°
功率：7W
光通量：&gt;350lm
色溫範圍：2700K~6000K
調光：PWM數位調光
調光頻率：3.84kHz</v>
          </cell>
          <cell r="I254" t="str">
            <v>開孔尺寸55*55mm</v>
          </cell>
          <cell r="J254"/>
          <cell r="K254" t="str">
            <v>顆</v>
          </cell>
          <cell r="L254">
            <v>30.46</v>
          </cell>
          <cell r="M254"/>
          <cell r="N254">
            <v>30.46</v>
          </cell>
          <cell r="O254">
            <v>32.896800000000006</v>
          </cell>
          <cell r="P254">
            <v>0.42</v>
          </cell>
          <cell r="Q254">
            <v>0.42</v>
          </cell>
          <cell r="R254">
            <v>47.25</v>
          </cell>
          <cell r="S254">
            <v>1</v>
          </cell>
        </row>
        <row r="255">
          <cell r="C255" t="str">
            <v>DSZ12066</v>
          </cell>
          <cell r="D255" t="str">
            <v>SOPRO 投射燈-方形-12W15°(無框)</v>
          </cell>
          <cell r="E255">
            <v>83.002549999999999</v>
          </cell>
          <cell r="F255">
            <v>91</v>
          </cell>
          <cell r="G255" t="str">
            <v>蒼芎智慧燈條5m延伸</v>
          </cell>
          <cell r="H255" t="str">
            <v>開孔尺寸：75*75mm
尺寸：長100*寬100*高106mm
表面：黑色、白色
顯色指數（CRI）：Ra&gt;95
統一眩光等級（UGR）：UGR&lt;9
光束角度：15°
功率：12W
光通量：&gt;600lm
色溫範圍：2700K~6000K
調光：PWM數位調光
調光頻率：3.84kHz</v>
          </cell>
          <cell r="I255" t="str">
            <v>開孔尺寸75*75mm</v>
          </cell>
          <cell r="J255"/>
          <cell r="K255" t="str">
            <v>顆</v>
          </cell>
          <cell r="L255">
            <v>38.92</v>
          </cell>
          <cell r="M255"/>
          <cell r="N255">
            <v>38.92</v>
          </cell>
          <cell r="O255">
            <v>42.033600000000007</v>
          </cell>
          <cell r="P255">
            <v>0.61</v>
          </cell>
          <cell r="Q255">
            <v>0.61</v>
          </cell>
          <cell r="R255">
            <v>68.625</v>
          </cell>
          <cell r="S255">
            <v>1</v>
          </cell>
        </row>
        <row r="256">
          <cell r="C256" t="str">
            <v>DSZ12055</v>
          </cell>
          <cell r="D256" t="str">
            <v>SOPRO 投射燈-方形-12W24°(無框)</v>
          </cell>
          <cell r="E256">
            <v>83.002560000000003</v>
          </cell>
          <cell r="F256">
            <v>92</v>
          </cell>
          <cell r="G256" t="str">
            <v>蒼芎智慧燈條(2M)
(停產)</v>
          </cell>
          <cell r="H256" t="str">
            <v>開孔尺寸：75*75mm
尺寸：長100*寬100*高106mm
表面：黑色、白色
顯色指數（CRI）：Ra&gt;95
統一眩光等級（UGR）：UGR&lt;9
光束角度：24°
功率：12W
光通量：&gt;600lm
色溫範圍：2700K~6000K
調光：PWM數位調光
調光頻率：3.84kHz</v>
          </cell>
          <cell r="I256" t="str">
            <v>開孔尺寸75*75mm</v>
          </cell>
          <cell r="J256"/>
          <cell r="K256" t="str">
            <v>顆</v>
          </cell>
          <cell r="L256">
            <v>38.92</v>
          </cell>
          <cell r="M256"/>
          <cell r="N256">
            <v>38.92</v>
          </cell>
          <cell r="O256">
            <v>42.033600000000007</v>
          </cell>
          <cell r="P256">
            <v>0.62</v>
          </cell>
          <cell r="Q256">
            <v>0.62</v>
          </cell>
          <cell r="R256">
            <v>69.75</v>
          </cell>
          <cell r="S256">
            <v>1</v>
          </cell>
        </row>
        <row r="257">
          <cell r="C257" t="str">
            <v>DSZ12056</v>
          </cell>
          <cell r="D257" t="str">
            <v>SOPRO 投射燈-方形-12W36°(無框)</v>
          </cell>
          <cell r="E257">
            <v>83.002570000000006</v>
          </cell>
          <cell r="F257">
            <v>93</v>
          </cell>
          <cell r="G257" t="str">
            <v>蒼芎吸頂燈PRO
(停售)</v>
          </cell>
          <cell r="H257" t="str">
            <v>開孔尺寸：75*75mm
尺寸：長100*寬100*高106mm
表面：黑色、白色
顯色指數（CRI）：Ra&gt;95
統一眩光等級（UGR）：UGR&lt;9
光束角度：36°
功率：12W
光通量：&gt;600lm
色溫範圍：2700K~6000K
調光：PWM數位調光
調光頻率：3.84kHz</v>
          </cell>
          <cell r="I257" t="str">
            <v>開孔尺寸75*75mm</v>
          </cell>
          <cell r="J257"/>
          <cell r="K257" t="str">
            <v>顆</v>
          </cell>
          <cell r="L257">
            <v>38.92</v>
          </cell>
          <cell r="M257"/>
          <cell r="N257">
            <v>38.92</v>
          </cell>
          <cell r="O257">
            <v>42.033600000000007</v>
          </cell>
          <cell r="P257">
            <v>0.62</v>
          </cell>
          <cell r="Q257">
            <v>0.62</v>
          </cell>
          <cell r="R257">
            <v>69.75</v>
          </cell>
          <cell r="S257">
            <v>1</v>
          </cell>
        </row>
        <row r="258">
          <cell r="C258" t="str">
            <v>V80XA</v>
          </cell>
          <cell r="D258" t="str">
            <v>MixPad 7（Matter）</v>
          </cell>
          <cell r="E258">
            <v>77.002579999999995</v>
          </cell>
          <cell r="F258">
            <v>64</v>
          </cell>
          <cell r="G258" t="str">
            <v>蒼芎投射燈
(停售)</v>
          </cell>
          <cell r="H258" t="str">
            <v>電源供應器：AC100-240V，50/60Hz
L&amp;N連接
顏色：黑色
尺寸：177.2×111.1×40.25毫米
螢幕尺寸：7英寸，1024 x 600P
內建開關：4位
最大負載：1/2迴路，400W/迴路； 3/4迴路，200W/迴路</v>
          </cell>
          <cell r="I258" t="str">
            <v>需提供110V或220V電源
採用86底盒安裝(智崴提供)</v>
          </cell>
          <cell r="J258"/>
          <cell r="K258" t="str">
            <v>台</v>
          </cell>
          <cell r="L258">
            <v>216</v>
          </cell>
          <cell r="M258"/>
          <cell r="N258">
            <v>216</v>
          </cell>
          <cell r="O258">
            <v>233.28000000000003</v>
          </cell>
          <cell r="P258">
            <v>0.73299999999999998</v>
          </cell>
          <cell r="Q258">
            <v>0.88200000000000001</v>
          </cell>
          <cell r="R258">
            <v>99.225000000000009</v>
          </cell>
          <cell r="S258">
            <v>6</v>
          </cell>
        </row>
        <row r="259">
          <cell r="C259" t="str">
            <v>T60W1Z</v>
          </cell>
          <cell r="D259" t="str">
            <v>高斯系列2代智能开关(一开灰)</v>
          </cell>
          <cell r="E259">
            <v>45226.002589999996</v>
          </cell>
          <cell r="F259">
            <v>184</v>
          </cell>
          <cell r="G259" t="str">
            <v>蒼芎崁燈
(停售)</v>
          </cell>
          <cell r="H259" t="str">
            <v>尺寸：86*86*32mm
電源供應器：AC110-250V，50/60Hz
最大限度。負載：800W/組
工作溫度：-20℃~60℃
工作濕度：&lt;80%</v>
          </cell>
          <cell r="I259" t="str">
            <v>需提供零線(N)-白線
採用86底盒安裝(智崴提供)</v>
          </cell>
          <cell r="J259"/>
          <cell r="K259" t="str">
            <v>顆</v>
          </cell>
          <cell r="L259">
            <v>26.285714285714299</v>
          </cell>
          <cell r="M259"/>
          <cell r="N259">
            <v>26.285714285714299</v>
          </cell>
          <cell r="O259">
            <v>28.388571428571446</v>
          </cell>
          <cell r="P259">
            <v>0.22</v>
          </cell>
          <cell r="Q259">
            <v>0.57999999999999996</v>
          </cell>
          <cell r="R259">
            <v>65.249999999999986</v>
          </cell>
          <cell r="S259">
            <v>1</v>
          </cell>
        </row>
        <row r="260">
          <cell r="C260" t="str">
            <v>T60W2Z</v>
          </cell>
          <cell r="D260" t="str">
            <v>高斯系列2代智能开关(二开灰)</v>
          </cell>
          <cell r="E260">
            <v>45226.0026</v>
          </cell>
          <cell r="F260">
            <v>185</v>
          </cell>
          <cell r="G260" t="str">
            <v>語音助理
(WiFi)</v>
          </cell>
          <cell r="H260" t="str">
            <v>尺寸：86*86*32mm
電源供應器：AC110-250V，50/60Hz
最大限度。負載：800W/組
工作溫度：-20℃~60℃
工作濕度：&lt;80%</v>
          </cell>
          <cell r="I260" t="str">
            <v>需提供零線(N)-白線
採用86底盒安裝(智崴提供)</v>
          </cell>
          <cell r="J260"/>
          <cell r="K260" t="str">
            <v>顆</v>
          </cell>
          <cell r="L260">
            <v>28.8571428571429</v>
          </cell>
          <cell r="M260"/>
          <cell r="N260">
            <v>28.8571428571429</v>
          </cell>
          <cell r="O260">
            <v>31.165714285714333</v>
          </cell>
          <cell r="P260">
            <v>0.22</v>
          </cell>
          <cell r="Q260">
            <v>0.57999999999999996</v>
          </cell>
          <cell r="R260">
            <v>65.249999999999986</v>
          </cell>
          <cell r="S260">
            <v>1</v>
          </cell>
        </row>
        <row r="261">
          <cell r="C261" t="str">
            <v>T60W3Z</v>
          </cell>
          <cell r="D261" t="str">
            <v>高斯系列2代智能开关(三开灰)</v>
          </cell>
          <cell r="E261">
            <v>45226.002610000003</v>
          </cell>
          <cell r="F261">
            <v>186</v>
          </cell>
          <cell r="G261" t="str">
            <v>歐規金屬入牆底盒</v>
          </cell>
          <cell r="H261" t="str">
            <v>尺寸：86*86*32mm
電源供應器：AC110-250V，50/60Hz
最大限度。負載：800W/組
工作溫度：-20℃~60℃
工作濕度：&lt;80%</v>
          </cell>
          <cell r="I261" t="str">
            <v>需提供零線(N)-白線
採用86底盒安裝(智崴提供)</v>
          </cell>
          <cell r="J261"/>
          <cell r="K261" t="str">
            <v>顆</v>
          </cell>
          <cell r="L261">
            <v>31.428571428571399</v>
          </cell>
          <cell r="M261"/>
          <cell r="N261">
            <v>31.428571428571399</v>
          </cell>
          <cell r="O261">
            <v>33.942857142857115</v>
          </cell>
          <cell r="P261">
            <v>0.23100000000000001</v>
          </cell>
          <cell r="Q261">
            <v>0.57999999999999996</v>
          </cell>
          <cell r="R261">
            <v>65.249999999999986</v>
          </cell>
          <cell r="S261">
            <v>1</v>
          </cell>
        </row>
        <row r="262">
          <cell r="C262" t="str">
            <v>T60W1Z</v>
          </cell>
          <cell r="D262" t="str">
            <v>高斯系列2代智能开关(一开金)</v>
          </cell>
          <cell r="E262">
            <v>45226.002619999999</v>
          </cell>
          <cell r="F262">
            <v>187</v>
          </cell>
          <cell r="G262" t="str">
            <v>鋁槽-12mm</v>
          </cell>
          <cell r="H262" t="str">
            <v>尺寸：86*86*32mm
電源供應器：AC110-250V，50/60Hz
最大限度。負載：800W/組
工作溫度：-20℃~60℃
工作濕度：&lt;80%</v>
          </cell>
          <cell r="I262" t="str">
            <v>需提供零線(N)-白線
採用86底盒安裝(智崴提供)</v>
          </cell>
          <cell r="J262"/>
          <cell r="K262" t="str">
            <v>顆</v>
          </cell>
          <cell r="L262">
            <v>26.285714285714299</v>
          </cell>
          <cell r="M262"/>
          <cell r="N262">
            <v>26.285714285714299</v>
          </cell>
          <cell r="O262">
            <v>28.388571428571446</v>
          </cell>
          <cell r="P262">
            <v>0.22</v>
          </cell>
          <cell r="Q262">
            <v>0.57999999999999996</v>
          </cell>
          <cell r="R262">
            <v>65.249999999999986</v>
          </cell>
          <cell r="S262">
            <v>1</v>
          </cell>
        </row>
        <row r="263">
          <cell r="C263" t="str">
            <v>T60W2Z</v>
          </cell>
          <cell r="D263" t="str">
            <v>高斯系列2代智能开关(二开金))</v>
          </cell>
          <cell r="E263">
            <v>45226.002630000003</v>
          </cell>
          <cell r="F263">
            <v>188</v>
          </cell>
          <cell r="G263" t="str">
            <v>燈條功率放大器50A</v>
          </cell>
          <cell r="H263" t="str">
            <v>尺寸：86*86*32mm
電源供應器：AC110-250V，50/60Hz
最大限度。負載：800W/組
工作溫度：-20℃~60℃
工作濕度：&lt;80%</v>
          </cell>
          <cell r="I263" t="str">
            <v>需提供零線(N)-白線
採用86底盒安裝(智崴提供)</v>
          </cell>
          <cell r="J263"/>
          <cell r="K263" t="str">
            <v>顆</v>
          </cell>
          <cell r="L263">
            <v>28.8571428571429</v>
          </cell>
          <cell r="M263"/>
          <cell r="N263">
            <v>28.8571428571429</v>
          </cell>
          <cell r="O263">
            <v>31.165714285714333</v>
          </cell>
          <cell r="P263">
            <v>0.22</v>
          </cell>
          <cell r="Q263">
            <v>0.57999999999999996</v>
          </cell>
          <cell r="R263">
            <v>65.249999999999986</v>
          </cell>
          <cell r="S263">
            <v>1</v>
          </cell>
        </row>
        <row r="264">
          <cell r="C264" t="str">
            <v>T60W3Z</v>
          </cell>
          <cell r="D264" t="str">
            <v>高斯系列2代智能开关(三开金)</v>
          </cell>
          <cell r="E264">
            <v>45226.002639999999</v>
          </cell>
          <cell r="F264">
            <v>189</v>
          </cell>
          <cell r="G264" t="str">
            <v>燃氣感應器-ZigBee</v>
          </cell>
          <cell r="H264" t="str">
            <v>尺寸：86*86*32mm
電源供應器：AC110-250V，50/60Hz
最大限度。負載：800W/組
工作溫度：-20℃~60℃
工作濕度：&lt;80%</v>
          </cell>
          <cell r="I264" t="str">
            <v>需提供零線(N)-白線
採用86底盒安裝(智崴提供)</v>
          </cell>
          <cell r="J264"/>
          <cell r="K264" t="str">
            <v>顆</v>
          </cell>
          <cell r="L264">
            <v>31.428571428571399</v>
          </cell>
          <cell r="M264"/>
          <cell r="N264">
            <v>31.428571428571399</v>
          </cell>
          <cell r="O264">
            <v>33.942857142857115</v>
          </cell>
          <cell r="P264">
            <v>0.23100000000000001</v>
          </cell>
          <cell r="Q264">
            <v>0.57999999999999996</v>
          </cell>
          <cell r="R264">
            <v>65.249999999999986</v>
          </cell>
          <cell r="S264">
            <v>1</v>
          </cell>
        </row>
        <row r="265">
          <cell r="C265" t="str">
            <v>T60W1Z</v>
          </cell>
          <cell r="D265" t="str">
            <v>高斯系列2代智能开关(一开白)</v>
          </cell>
          <cell r="E265">
            <v>45226.002650000002</v>
          </cell>
          <cell r="F265">
            <v>190</v>
          </cell>
          <cell r="G265" t="str">
            <v>繼電器-5A</v>
          </cell>
          <cell r="H265" t="str">
            <v>尺寸：86*86*32mm
電源供應器：AC110-250V，50/60Hz
最大限度。負載：800W/組
工作溫度：-20℃~60℃
工作濕度：&lt;80%</v>
          </cell>
          <cell r="I265" t="str">
            <v>需提供零線(N)-白線
採用86底盒安裝(智崴提供)</v>
          </cell>
          <cell r="J265"/>
          <cell r="K265" t="str">
            <v>顆</v>
          </cell>
          <cell r="L265">
            <v>26.285714285714299</v>
          </cell>
          <cell r="M265"/>
          <cell r="N265">
            <v>26.285714285714299</v>
          </cell>
          <cell r="O265">
            <v>28.388571428571446</v>
          </cell>
          <cell r="P265">
            <v>0.22</v>
          </cell>
          <cell r="Q265">
            <v>0.57999999999999996</v>
          </cell>
          <cell r="R265">
            <v>65.249999999999986</v>
          </cell>
          <cell r="S265">
            <v>1</v>
          </cell>
        </row>
        <row r="266">
          <cell r="C266" t="str">
            <v>T60W2Z</v>
          </cell>
          <cell r="D266" t="str">
            <v>高斯系列2代智能开关(二开白)</v>
          </cell>
          <cell r="E266">
            <v>45226.002659999998</v>
          </cell>
          <cell r="F266">
            <v>191</v>
          </cell>
          <cell r="G266" t="str">
            <v>繼電器-10A</v>
          </cell>
          <cell r="H266" t="str">
            <v>尺寸：86*86*32mm
電源供應器：AC110-250V，50/60Hz
最大限度。負載：800W/組
工作溫度：-20℃~60℃
工作濕度：&lt;80%</v>
          </cell>
          <cell r="I266" t="str">
            <v>需提供零線(N)-白線
採用86底盒安裝(智崴提供)</v>
          </cell>
          <cell r="J266"/>
          <cell r="K266" t="str">
            <v>顆</v>
          </cell>
          <cell r="L266">
            <v>28.8571428571429</v>
          </cell>
          <cell r="M266"/>
          <cell r="N266">
            <v>28.8571428571429</v>
          </cell>
          <cell r="O266">
            <v>31.165714285714333</v>
          </cell>
          <cell r="P266">
            <v>0.22</v>
          </cell>
          <cell r="Q266">
            <v>0.57999999999999996</v>
          </cell>
          <cell r="R266">
            <v>65.249999999999986</v>
          </cell>
          <cell r="S266">
            <v>1</v>
          </cell>
        </row>
        <row r="267">
          <cell r="C267" t="str">
            <v>T60W3Z</v>
          </cell>
          <cell r="D267" t="str">
            <v>高斯系列2代智能开关(三开白)</v>
          </cell>
          <cell r="E267">
            <v>45226.002670000002</v>
          </cell>
          <cell r="F267">
            <v>192</v>
          </cell>
          <cell r="G267" t="e">
            <v>#N/A</v>
          </cell>
          <cell r="H267" t="str">
            <v>尺寸：86*86*32mm
電源供應器：AC110-250V，50/60Hz
最大限度。負載：800W/組
工作溫度：-20℃~60℃
工作濕度：&lt;80%</v>
          </cell>
          <cell r="I267" t="str">
            <v>需提供零線(N)-白線
採用86底盒安裝(智崴提供)</v>
          </cell>
          <cell r="J267"/>
          <cell r="K267" t="str">
            <v>顆</v>
          </cell>
          <cell r="L267">
            <v>31.428571428571399</v>
          </cell>
          <cell r="M267"/>
          <cell r="N267">
            <v>31.428571428571399</v>
          </cell>
          <cell r="O267">
            <v>33.942857142857115</v>
          </cell>
          <cell r="P267">
            <v>0.23100000000000001</v>
          </cell>
          <cell r="Q267">
            <v>0.57999999999999996</v>
          </cell>
          <cell r="R267">
            <v>65.249999999999986</v>
          </cell>
          <cell r="S267">
            <v>1</v>
          </cell>
        </row>
        <row r="268">
          <cell r="C268" t="str">
            <v>DSZ07344</v>
          </cell>
          <cell r="D268" t="str">
            <v>防眩智能射灯S5(圆形7W24°开孔55mm</v>
          </cell>
          <cell r="E268">
            <v>43198.002679999998</v>
          </cell>
          <cell r="F268">
            <v>151</v>
          </cell>
          <cell r="G268" t="e">
            <v>#N/A</v>
          </cell>
          <cell r="H268" t="str">
            <v>電源：110V–240V～ 50/60Hz
尺寸：φ61 × H76mm
開孔尺寸：φ55mm
通訊協議：Zigbee
顯色指數：Ra &gt; 90
光束角：24°
可調角度：25°
額定功率：7W
亮度調整範圍：0%–100%
光通量：450 流明（Lm）
色溫範圍：2700K–6000K</v>
          </cell>
          <cell r="I268" t="str">
            <v>開孔尺寸55mm</v>
          </cell>
          <cell r="J268"/>
          <cell r="K268" t="str">
            <v>顆</v>
          </cell>
          <cell r="L268">
            <v>28.285714285714299</v>
          </cell>
          <cell r="M268"/>
          <cell r="N268">
            <v>28.285714285714299</v>
          </cell>
          <cell r="O268">
            <v>30.548571428571446</v>
          </cell>
          <cell r="P268">
            <v>0.16</v>
          </cell>
          <cell r="Q268">
            <v>0.57999999999999996</v>
          </cell>
          <cell r="R268">
            <v>65.249999999999986</v>
          </cell>
          <cell r="S268">
            <v>1</v>
          </cell>
        </row>
        <row r="269">
          <cell r="C269" t="str">
            <v>DSZ07345</v>
          </cell>
          <cell r="D269" t="str">
            <v>防眩智能射灯S5(圆形7W36°开孔55mm</v>
          </cell>
          <cell r="E269">
            <v>43198.002690000001</v>
          </cell>
          <cell r="F269">
            <v>152</v>
          </cell>
          <cell r="G269" t="e">
            <v>#N/A</v>
          </cell>
          <cell r="H269" t="str">
            <v>電源：200V–240V～ 50/60Hz
尺寸：φ61 × H76mm
開孔尺寸：φ55mm
通訊協議：Zigbee
顯色指數：Ra &gt; 90
光束角：36°
可調角度：25°
額定功率：7W
亮度調整範圍：0%–100%
光通量：450 流明（Lm）
色溫範圍：2700K–6000K</v>
          </cell>
          <cell r="I269" t="str">
            <v>開孔尺寸55mm</v>
          </cell>
          <cell r="J269"/>
          <cell r="K269" t="str">
            <v>顆</v>
          </cell>
          <cell r="L269">
            <v>27</v>
          </cell>
          <cell r="M269"/>
          <cell r="N269">
            <v>27</v>
          </cell>
          <cell r="O269">
            <v>29.160000000000004</v>
          </cell>
          <cell r="P269">
            <v>0.06</v>
          </cell>
          <cell r="Q269">
            <v>0.57999999999999996</v>
          </cell>
          <cell r="R269">
            <v>65.249999999999986</v>
          </cell>
          <cell r="S269">
            <v>1</v>
          </cell>
        </row>
        <row r="270">
          <cell r="C270" t="str">
            <v>V1.0</v>
          </cell>
          <cell r="D270" t="str">
            <v>防眩智能射灯S5开孔55mm(白反光杯)</v>
          </cell>
          <cell r="E270">
            <v>43198.002699999997</v>
          </cell>
          <cell r="F270">
            <v>153</v>
          </cell>
          <cell r="G270" t="e">
            <v>#N/A</v>
          </cell>
          <cell r="H270" t="str">
            <v>尺寸：φ49.7 × H21mm</v>
          </cell>
          <cell r="I270"/>
          <cell r="J270"/>
          <cell r="K270" t="str">
            <v>顆</v>
          </cell>
          <cell r="L270">
            <v>1.1399999999999999</v>
          </cell>
          <cell r="M270"/>
          <cell r="N270">
            <v>1.1399999999999999</v>
          </cell>
          <cell r="O270">
            <v>1.2312000000000001</v>
          </cell>
          <cell r="P270" t="e">
            <v>#N/A</v>
          </cell>
          <cell r="Q270">
            <v>0.57999999999999996</v>
          </cell>
          <cell r="R270">
            <v>65.249999999999986</v>
          </cell>
          <cell r="S270">
            <v>1</v>
          </cell>
        </row>
        <row r="271">
          <cell r="C271" t="str">
            <v>DSZ06286</v>
          </cell>
          <cell r="D271" t="str">
            <v>S0智能射灯</v>
          </cell>
          <cell r="E271">
            <v>83.002709999999993</v>
          </cell>
          <cell r="F271">
            <v>94</v>
          </cell>
          <cell r="G271" t="e">
            <v>#N/A</v>
          </cell>
          <cell r="H271" t="str">
            <v>電源：AC 100–240V 50/60Hz
通訊協議：Zigbee
尺寸：Φ88 × H80mm
開孔尺寸：Φ75mm
顯色指數：Ra &gt; 90
防眩光指數：UGR &lt; 13
光束角：36°
光通量：400 流明（lm）
額定功率：6W
色溫範圍：2700K–6000K</v>
          </cell>
          <cell r="I271" t="str">
            <v>開孔尺寸75mm</v>
          </cell>
          <cell r="J271"/>
          <cell r="K271" t="str">
            <v>顆</v>
          </cell>
          <cell r="L271">
            <v>15.1</v>
          </cell>
          <cell r="M271"/>
          <cell r="N271">
            <v>15.1</v>
          </cell>
          <cell r="O271">
            <v>16.308</v>
          </cell>
          <cell r="P271">
            <v>0.2</v>
          </cell>
          <cell r="Q271">
            <v>0.57999999999999996</v>
          </cell>
          <cell r="R271">
            <v>65.249999999999986</v>
          </cell>
          <cell r="S271">
            <v>1</v>
          </cell>
        </row>
        <row r="272">
          <cell r="C272" t="str">
            <v>DTZ05285</v>
          </cell>
          <cell r="D272" t="str">
            <v>S0智能筒灯</v>
          </cell>
          <cell r="E272">
            <v>83.002719999999997</v>
          </cell>
          <cell r="F272">
            <v>95</v>
          </cell>
          <cell r="G272" t="e">
            <v>#N/A</v>
          </cell>
          <cell r="H272" t="str">
            <v>電源：AC 100–240V 50/60Hz
通訊協議：Zigbee
尺寸：Φ88 × H70mm
開孔尺寸：Φ75mm
顯色指數：Ra  90
防眩光指數：UGR &lt; 13
光束角：70°
光通量：400 流明（lm）
額定功率：6W
色溫範圍：2700K–6000K</v>
          </cell>
          <cell r="I272" t="str">
            <v>開孔尺寸75mm</v>
          </cell>
          <cell r="J272"/>
          <cell r="K272" t="str">
            <v>顆</v>
          </cell>
          <cell r="L272">
            <v>13.4</v>
          </cell>
          <cell r="M272"/>
          <cell r="N272">
            <v>13.4</v>
          </cell>
          <cell r="O272">
            <v>14.472000000000001</v>
          </cell>
          <cell r="P272">
            <v>0.19</v>
          </cell>
          <cell r="Q272">
            <v>0.57999999999999996</v>
          </cell>
          <cell r="R272">
            <v>65.249999999999986</v>
          </cell>
          <cell r="S272">
            <v>1</v>
          </cell>
        </row>
        <row r="273">
          <cell r="C273" t="str">
            <v>S361</v>
          </cell>
          <cell r="D273" t="str">
            <v>人体状态传感器 MixSense</v>
          </cell>
          <cell r="E273">
            <v>42056.00273</v>
          </cell>
          <cell r="F273">
            <v>131</v>
          </cell>
          <cell r="G273" t="e">
            <v>#N/A</v>
          </cell>
          <cell r="H273" t="str">
            <v>電源：AC 100–240V 50/60Hz
額定功率：3W
顏色：白色
感應方式：毫米波雷達 + 紅外線感應
產品尺寸：Φ82mm × Φ65mm × 48mm
開孔尺寸：Φ70mm
偵測角度：70°
建議安裝高度：&lt;3 公尺</v>
          </cell>
          <cell r="I273" t="str">
            <v>開孔尺寸70mm</v>
          </cell>
          <cell r="J273"/>
          <cell r="K273" t="str">
            <v>顆</v>
          </cell>
          <cell r="L273">
            <v>51.9</v>
          </cell>
          <cell r="M273"/>
          <cell r="N273">
            <v>51.9</v>
          </cell>
          <cell r="O273">
            <v>56.052</v>
          </cell>
          <cell r="P273" t="e">
            <v>#N/A</v>
          </cell>
          <cell r="Q273">
            <v>0.57999999999999996</v>
          </cell>
          <cell r="R273">
            <v>65.249999999999986</v>
          </cell>
          <cell r="S273">
            <v>1</v>
          </cell>
        </row>
        <row r="274">
          <cell r="C274" t="str">
            <v>S361</v>
          </cell>
          <cell r="D274" t="str">
            <v>人体状态传感器 MixSense</v>
          </cell>
          <cell r="E274">
            <v>42056.002740000004</v>
          </cell>
          <cell r="F274" t="e">
            <v>#N/A</v>
          </cell>
          <cell r="G274" t="e">
            <v>#N/A</v>
          </cell>
          <cell r="H274" t="str">
            <v>電源：AC 100–240V 50/60Hz
額定功率：3W
顏色：白色
感應方式：毫米波雷達 + 紅外線感應
產品尺寸：Φ82mm × Φ65mm × 48mm
開孔尺寸：Φ70mm
偵測角度：70°
建議安裝高度：&lt;3 公尺</v>
          </cell>
          <cell r="I274" t="str">
            <v>開孔尺寸70mm</v>
          </cell>
          <cell r="J274"/>
          <cell r="K274" t="str">
            <v>顆</v>
          </cell>
          <cell r="L274">
            <v>51.9</v>
          </cell>
          <cell r="M274"/>
          <cell r="N274">
            <v>51.9</v>
          </cell>
          <cell r="O274">
            <v>56.052</v>
          </cell>
          <cell r="P274" t="e">
            <v>#N/A</v>
          </cell>
          <cell r="Q274">
            <v>0.57999999999999996</v>
          </cell>
          <cell r="R274">
            <v>65.249999999999986</v>
          </cell>
          <cell r="S274">
            <v>1</v>
          </cell>
        </row>
        <row r="275">
          <cell r="C275" t="str">
            <v>S361</v>
          </cell>
          <cell r="D275" t="str">
            <v>人体状态传感器 MixSense</v>
          </cell>
          <cell r="E275">
            <v>42056.00275</v>
          </cell>
          <cell r="F275" t="e">
            <v>#N/A</v>
          </cell>
          <cell r="G275" t="e">
            <v>#N/A</v>
          </cell>
          <cell r="H275" t="str">
            <v>電源：AC 100–240V 50/60Hz
額定功率：3W
顏色：白色
感應方式：毫米波雷達 + 紅外線感應
產品尺寸：Φ82mm × Φ65mm × 48mm
開孔尺寸：Φ70mm
偵測角度：70°
建議安裝高度：&lt;3 公尺</v>
          </cell>
          <cell r="I275" t="str">
            <v>開孔尺寸70mm</v>
          </cell>
          <cell r="J275"/>
          <cell r="K275" t="str">
            <v>顆</v>
          </cell>
          <cell r="L275">
            <v>51.9</v>
          </cell>
          <cell r="M275"/>
          <cell r="N275">
            <v>51.9</v>
          </cell>
          <cell r="O275">
            <v>56.052</v>
          </cell>
          <cell r="P275" t="e">
            <v>#N/A</v>
          </cell>
          <cell r="Q275">
            <v>0.57999999999999996</v>
          </cell>
          <cell r="R275">
            <v>65.249999999999986</v>
          </cell>
          <cell r="S275">
            <v>1</v>
          </cell>
        </row>
        <row r="276">
          <cell r="C276" t="str">
            <v>C20WZ-3M</v>
          </cell>
          <cell r="D276" t="str">
            <v>Wi-Fi 智慧精靈窗簾電機與軌道套裝-3米</v>
          </cell>
          <cell r="E276">
            <v>87.002759999999995</v>
          </cell>
          <cell r="F276" t="e">
            <v>#N/A</v>
          </cell>
          <cell r="G276" t="e">
            <v>#N/A</v>
          </cell>
          <cell r="H276" t="str">
            <v>電機尺寸： 53 * 270mm
供電電壓： AC 100-240V 50/60Hz
無線協定： Wi-Fi
適用軌道長度： 1.7M - 3M
最大承重： 40Kg</v>
          </cell>
          <cell r="I276"/>
          <cell r="J276"/>
          <cell r="K276" t="str">
            <v>顆</v>
          </cell>
          <cell r="L276">
            <v>56.1</v>
          </cell>
          <cell r="M276"/>
          <cell r="N276">
            <v>56.1</v>
          </cell>
          <cell r="O276">
            <v>60.588000000000008</v>
          </cell>
          <cell r="P276" t="e">
            <v>#N/A</v>
          </cell>
          <cell r="Q276">
            <v>0.57999999999999996</v>
          </cell>
          <cell r="R276">
            <v>65.249999999999986</v>
          </cell>
          <cell r="S276">
            <v>1</v>
          </cell>
        </row>
        <row r="277">
          <cell r="C277" t="str">
            <v>C20WZ-4M</v>
          </cell>
          <cell r="D277" t="str">
            <v>Wi-Fi 智慧精靈窗簾電機與軌道套裝-4米</v>
          </cell>
          <cell r="E277">
            <v>87.002769999999998</v>
          </cell>
          <cell r="F277" t="e">
            <v>#N/A</v>
          </cell>
          <cell r="G277" t="e">
            <v>#N/A</v>
          </cell>
          <cell r="H277" t="str">
            <v>電機尺寸： 53 * 270mm
供電電壓： AC 100-240V 50/60Hz
無線協定： Wi-Fi
適用軌道長度： 2.2M - 4M
最大承重： 40Kg</v>
          </cell>
          <cell r="I277"/>
          <cell r="J277"/>
          <cell r="K277" t="str">
            <v>顆</v>
          </cell>
          <cell r="L277">
            <v>61.3</v>
          </cell>
          <cell r="M277"/>
          <cell r="N277">
            <v>61.3</v>
          </cell>
          <cell r="O277">
            <v>66.204000000000008</v>
          </cell>
          <cell r="P277" t="e">
            <v>#N/A</v>
          </cell>
          <cell r="Q277">
            <v>0.57999999999999996</v>
          </cell>
          <cell r="R277">
            <v>65.249999999999986</v>
          </cell>
          <cell r="S277">
            <v>1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62"/>
  <sheetViews>
    <sheetView tabSelected="1" zoomScale="70" zoomScaleNormal="70" workbookViewId="0">
      <pane xSplit="4" ySplit="3" topLeftCell="Q220" activePane="bottomRight" state="frozen"/>
      <selection pane="topRight" activeCell="E1" sqref="E1"/>
      <selection pane="bottomLeft" activeCell="A4" sqref="A4"/>
      <selection pane="bottomRight" activeCell="W252" sqref="W252"/>
    </sheetView>
  </sheetViews>
  <sheetFormatPr defaultRowHeight="15" x14ac:dyDescent="0.45"/>
  <cols>
    <col min="1" max="1" width="38" customWidth="1"/>
    <col min="2" max="2" width="12" customWidth="1"/>
    <col min="3" max="3" width="14" customWidth="1"/>
    <col min="4" max="4" width="38" customWidth="1"/>
    <col min="5" max="5" width="12" customWidth="1"/>
    <col min="6" max="7" width="38" customWidth="1"/>
    <col min="8" max="9" width="12" customWidth="1"/>
    <col min="10" max="10" width="20" customWidth="1"/>
    <col min="11" max="11" width="12" customWidth="1"/>
    <col min="12" max="12" width="22.42578125" customWidth="1"/>
    <col min="13" max="13" width="38" customWidth="1"/>
    <col min="14" max="14" width="15.78515625" customWidth="1"/>
    <col min="15" max="15" width="27" customWidth="1"/>
    <col min="16" max="17" width="12" customWidth="1"/>
    <col min="18" max="18" width="17.35546875" bestFit="1" customWidth="1"/>
    <col min="19" max="19" width="21.92578125" customWidth="1"/>
    <col min="20" max="20" width="19.640625" customWidth="1"/>
    <col min="21" max="22" width="21.92578125" customWidth="1"/>
    <col min="23" max="23" width="17.35546875" customWidth="1"/>
    <col min="24" max="24" width="19.640625" customWidth="1"/>
    <col min="25" max="25" width="9.5703125" bestFit="1" customWidth="1"/>
    <col min="26" max="26" width="11.85546875" bestFit="1" customWidth="1"/>
    <col min="27" max="27" width="9.5703125" bestFit="1" customWidth="1"/>
    <col min="28" max="29" width="11.85546875" bestFit="1" customWidth="1"/>
    <col min="30" max="31" width="7.5" bestFit="1" customWidth="1"/>
    <col min="32" max="32" width="20.85546875" customWidth="1"/>
    <col min="33" max="33" width="18.5703125" customWidth="1"/>
    <col min="34" max="35" width="20.85546875" customWidth="1"/>
    <col min="36" max="36" width="16.28515625" customWidth="1"/>
    <col min="37" max="37" width="18.5703125" customWidth="1"/>
    <col min="38" max="38" width="32" customWidth="1"/>
  </cols>
  <sheetData>
    <row r="1" spans="1:38" x14ac:dyDescent="0.45">
      <c r="A1" t="s">
        <v>17</v>
      </c>
    </row>
    <row r="3" spans="1:38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7</v>
      </c>
      <c r="P3" t="s">
        <v>8</v>
      </c>
      <c r="Q3" t="s">
        <v>9</v>
      </c>
      <c r="R3" t="s">
        <v>879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10</v>
      </c>
      <c r="Z3" t="s">
        <v>878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881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16</v>
      </c>
    </row>
    <row r="4" spans="1:38" x14ac:dyDescent="0.45">
      <c r="A4" t="s">
        <v>36</v>
      </c>
      <c r="B4" t="s">
        <v>37</v>
      </c>
      <c r="C4" t="s">
        <v>880</v>
      </c>
      <c r="D4" t="s">
        <v>907</v>
      </c>
      <c r="E4" t="s">
        <v>38</v>
      </c>
      <c r="F4" t="s">
        <v>39</v>
      </c>
      <c r="G4" t="s">
        <v>40</v>
      </c>
      <c r="H4" t="s">
        <v>41</v>
      </c>
      <c r="I4">
        <v>32.5</v>
      </c>
      <c r="J4">
        <v>52</v>
      </c>
      <c r="K4">
        <f>IFERROR(VLOOKUP(C4,[1]智慧家庭產品價格表.含稅!C:S,17,FALSE),0)</f>
        <v>1</v>
      </c>
      <c r="L4">
        <v>13</v>
      </c>
      <c r="M4">
        <f t="shared" ref="M4:M67" si="0">ROUND(IF(L4&lt;1,(J4+K4)*L4+(J4+K4),(J4+K4)*(L4/100)+(J4+K4)),2)</f>
        <v>59.89</v>
      </c>
      <c r="N4">
        <v>20</v>
      </c>
      <c r="O4">
        <f t="shared" ref="O4:O67" si="1">ROUND(M4*I4+N4,0)</f>
        <v>1966</v>
      </c>
      <c r="P4">
        <v>210</v>
      </c>
      <c r="Q4">
        <v>315</v>
      </c>
      <c r="R4" s="4">
        <v>3.7709999999999999</v>
      </c>
      <c r="S4" s="2">
        <v>0.94099999999999995</v>
      </c>
      <c r="T4" s="2">
        <v>0.95199999999999996</v>
      </c>
      <c r="U4" s="2">
        <v>0.95199999999999996</v>
      </c>
      <c r="V4" s="2">
        <v>0.95199999999999996</v>
      </c>
      <c r="W4" s="2">
        <v>0.95199999999999996</v>
      </c>
      <c r="X4" s="2">
        <v>0.95199999999999996</v>
      </c>
      <c r="Y4">
        <f t="shared" ref="Y4:Y67" si="2">ROUND(O4*R4,0)</f>
        <v>7414</v>
      </c>
      <c r="Z4">
        <f t="shared" ref="Z4:Z67" si="3">ROUND(Y4*S4*AF4,0)</f>
        <v>5930</v>
      </c>
      <c r="AA4">
        <f t="shared" ref="AA4:AA67" si="4">ROUND(Y4*T4*AG4,0)</f>
        <v>5294</v>
      </c>
      <c r="AB4">
        <f t="shared" ref="AB4:AB67" si="5">ROUND(Y4*U4*AH4,0)</f>
        <v>3529</v>
      </c>
      <c r="AC4">
        <f t="shared" ref="AC4:AC67" si="6">ROUND(Y4*V4*AI4,0)</f>
        <v>4588</v>
      </c>
      <c r="AD4">
        <f t="shared" ref="AD4:AD67" si="7">ROUND(Y4*W4*AJ4,0)</f>
        <v>2823</v>
      </c>
      <c r="AE4">
        <f t="shared" ref="AE4:AE67" si="8">ROUND(Y4*X4*AK4,0)</f>
        <v>3176</v>
      </c>
      <c r="AF4">
        <v>0.85</v>
      </c>
      <c r="AG4">
        <v>0.75</v>
      </c>
      <c r="AH4">
        <v>0.5</v>
      </c>
      <c r="AI4">
        <v>0.65</v>
      </c>
      <c r="AJ4">
        <v>0.4</v>
      </c>
      <c r="AK4">
        <v>0.45</v>
      </c>
      <c r="AL4" t="s">
        <v>42</v>
      </c>
    </row>
    <row r="5" spans="1:38" x14ac:dyDescent="0.45">
      <c r="A5" t="s">
        <v>36</v>
      </c>
      <c r="B5" t="s">
        <v>37</v>
      </c>
      <c r="C5" t="s">
        <v>43</v>
      </c>
      <c r="D5" s="3" t="s">
        <v>908</v>
      </c>
      <c r="E5" t="s">
        <v>38</v>
      </c>
      <c r="F5" t="s">
        <v>44</v>
      </c>
      <c r="G5" t="s">
        <v>45</v>
      </c>
      <c r="H5" t="s">
        <v>41</v>
      </c>
      <c r="I5">
        <v>32.5</v>
      </c>
      <c r="J5">
        <v>57</v>
      </c>
      <c r="K5">
        <f>IFERROR(VLOOKUP(C5,[1]智慧家庭產品價格表.含稅!C:S,17,FALSE),0)</f>
        <v>1</v>
      </c>
      <c r="L5">
        <v>13</v>
      </c>
      <c r="M5">
        <f t="shared" si="0"/>
        <v>65.540000000000006</v>
      </c>
      <c r="N5">
        <v>20</v>
      </c>
      <c r="O5">
        <f t="shared" si="1"/>
        <v>2150</v>
      </c>
      <c r="P5">
        <v>210</v>
      </c>
      <c r="Q5">
        <v>315</v>
      </c>
      <c r="R5" s="4">
        <v>3.7490000000000001</v>
      </c>
      <c r="S5" s="2">
        <v>0.94099999999999995</v>
      </c>
      <c r="T5" s="2">
        <v>0.95199999999999996</v>
      </c>
      <c r="U5" s="2">
        <v>0.95199999999999996</v>
      </c>
      <c r="V5" s="2">
        <v>0.95199999999999996</v>
      </c>
      <c r="W5" s="2">
        <v>0.95199999999999996</v>
      </c>
      <c r="X5" s="2">
        <v>0.95199999999999996</v>
      </c>
      <c r="Y5">
        <f t="shared" si="2"/>
        <v>8060</v>
      </c>
      <c r="Z5">
        <f t="shared" si="3"/>
        <v>6447</v>
      </c>
      <c r="AA5">
        <f t="shared" si="4"/>
        <v>5755</v>
      </c>
      <c r="AB5">
        <f t="shared" si="5"/>
        <v>3837</v>
      </c>
      <c r="AC5">
        <f t="shared" si="6"/>
        <v>4988</v>
      </c>
      <c r="AD5">
        <f t="shared" si="7"/>
        <v>3069</v>
      </c>
      <c r="AE5">
        <f t="shared" si="8"/>
        <v>3453</v>
      </c>
      <c r="AF5">
        <v>0.85</v>
      </c>
      <c r="AG5">
        <v>0.75</v>
      </c>
      <c r="AH5">
        <v>0.5</v>
      </c>
      <c r="AI5">
        <v>0.65</v>
      </c>
      <c r="AJ5">
        <v>0.4</v>
      </c>
      <c r="AK5">
        <v>0.45</v>
      </c>
      <c r="AL5" t="s">
        <v>46</v>
      </c>
    </row>
    <row r="6" spans="1:38" x14ac:dyDescent="0.45">
      <c r="A6" t="s">
        <v>36</v>
      </c>
      <c r="B6" t="s">
        <v>37</v>
      </c>
      <c r="C6" t="s">
        <v>47</v>
      </c>
      <c r="D6" t="s">
        <v>909</v>
      </c>
      <c r="E6" t="s">
        <v>38</v>
      </c>
      <c r="F6" t="s">
        <v>48</v>
      </c>
      <c r="G6" t="s">
        <v>49</v>
      </c>
      <c r="H6" t="s">
        <v>41</v>
      </c>
      <c r="I6">
        <v>32.5</v>
      </c>
      <c r="J6">
        <v>11</v>
      </c>
      <c r="K6">
        <f>IFERROR(VLOOKUP(C6,[1]智慧家庭產品價格表.含稅!C:S,17,FALSE),0)</f>
        <v>1</v>
      </c>
      <c r="L6">
        <v>13</v>
      </c>
      <c r="M6">
        <f t="shared" si="0"/>
        <v>13.56</v>
      </c>
      <c r="N6">
        <v>100</v>
      </c>
      <c r="O6">
        <f t="shared" si="1"/>
        <v>541</v>
      </c>
      <c r="P6">
        <v>52</v>
      </c>
      <c r="Q6">
        <v>315</v>
      </c>
      <c r="R6" s="4">
        <v>3.5129999999999999</v>
      </c>
      <c r="S6" s="2">
        <v>0.94099999999999995</v>
      </c>
      <c r="T6" s="2">
        <v>0.95199999999999996</v>
      </c>
      <c r="U6" s="2">
        <v>0.95199999999999996</v>
      </c>
      <c r="V6" s="2">
        <v>0.95199999999999996</v>
      </c>
      <c r="W6" s="2">
        <v>0.95199999999999996</v>
      </c>
      <c r="X6" s="2">
        <v>0.95199999999999996</v>
      </c>
      <c r="Y6">
        <f t="shared" si="2"/>
        <v>1901</v>
      </c>
      <c r="Z6">
        <f t="shared" si="3"/>
        <v>1521</v>
      </c>
      <c r="AA6">
        <f t="shared" si="4"/>
        <v>1357</v>
      </c>
      <c r="AB6">
        <f t="shared" si="5"/>
        <v>905</v>
      </c>
      <c r="AC6">
        <f t="shared" si="6"/>
        <v>1176</v>
      </c>
      <c r="AD6">
        <f t="shared" si="7"/>
        <v>724</v>
      </c>
      <c r="AE6">
        <f t="shared" si="8"/>
        <v>814</v>
      </c>
      <c r="AF6">
        <v>0.85</v>
      </c>
      <c r="AG6">
        <v>0.75</v>
      </c>
      <c r="AH6">
        <v>0.5</v>
      </c>
      <c r="AI6">
        <v>0.65</v>
      </c>
      <c r="AJ6">
        <v>0.4</v>
      </c>
      <c r="AK6">
        <v>0.45</v>
      </c>
    </row>
    <row r="7" spans="1:38" x14ac:dyDescent="0.45">
      <c r="A7" t="s">
        <v>36</v>
      </c>
      <c r="B7" t="s">
        <v>37</v>
      </c>
      <c r="C7" t="s">
        <v>50</v>
      </c>
      <c r="D7" t="s">
        <v>910</v>
      </c>
      <c r="E7" t="s">
        <v>38</v>
      </c>
      <c r="F7" t="s">
        <v>51</v>
      </c>
      <c r="G7" t="s">
        <v>52</v>
      </c>
      <c r="H7" t="s">
        <v>41</v>
      </c>
      <c r="I7">
        <v>32.5</v>
      </c>
      <c r="J7">
        <v>20</v>
      </c>
      <c r="K7">
        <f>IFERROR(VLOOKUP(C7,[1]智慧家庭產品價格表.含稅!C:S,17,FALSE),0)</f>
        <v>1</v>
      </c>
      <c r="L7">
        <v>13</v>
      </c>
      <c r="M7">
        <f t="shared" si="0"/>
        <v>23.73</v>
      </c>
      <c r="N7">
        <v>0</v>
      </c>
      <c r="O7">
        <f t="shared" si="1"/>
        <v>771</v>
      </c>
      <c r="P7">
        <v>158</v>
      </c>
      <c r="Q7">
        <v>315</v>
      </c>
      <c r="R7" s="4">
        <v>3.4390000000000001</v>
      </c>
      <c r="S7" s="2">
        <v>1</v>
      </c>
      <c r="T7" s="2">
        <v>1.016</v>
      </c>
      <c r="U7" s="2">
        <v>1.048</v>
      </c>
      <c r="V7" s="2">
        <v>1.0249999999999999</v>
      </c>
      <c r="W7" s="2">
        <v>1.071</v>
      </c>
      <c r="X7" s="2">
        <v>1.0580000000000001</v>
      </c>
      <c r="Y7">
        <f t="shared" si="2"/>
        <v>2651</v>
      </c>
      <c r="Z7">
        <f t="shared" si="3"/>
        <v>2253</v>
      </c>
      <c r="AA7">
        <f t="shared" si="4"/>
        <v>2020</v>
      </c>
      <c r="AB7">
        <f t="shared" si="5"/>
        <v>1389</v>
      </c>
      <c r="AC7">
        <f t="shared" si="6"/>
        <v>1766</v>
      </c>
      <c r="AD7">
        <f t="shared" si="7"/>
        <v>1136</v>
      </c>
      <c r="AE7">
        <f t="shared" si="8"/>
        <v>1262</v>
      </c>
      <c r="AF7">
        <v>0.85</v>
      </c>
      <c r="AG7">
        <v>0.75</v>
      </c>
      <c r="AH7">
        <v>0.5</v>
      </c>
      <c r="AI7">
        <v>0.65</v>
      </c>
      <c r="AJ7">
        <v>0.4</v>
      </c>
      <c r="AK7">
        <v>0.45</v>
      </c>
    </row>
    <row r="8" spans="1:38" x14ac:dyDescent="0.45">
      <c r="A8" t="s">
        <v>36</v>
      </c>
      <c r="B8" t="s">
        <v>37</v>
      </c>
      <c r="C8" t="s">
        <v>53</v>
      </c>
      <c r="D8" t="s">
        <v>911</v>
      </c>
      <c r="E8" t="s">
        <v>38</v>
      </c>
      <c r="F8" t="s">
        <v>54</v>
      </c>
      <c r="G8" t="s">
        <v>55</v>
      </c>
      <c r="H8" t="s">
        <v>41</v>
      </c>
      <c r="I8">
        <v>32.5</v>
      </c>
      <c r="J8">
        <v>17</v>
      </c>
      <c r="K8">
        <f>IFERROR(VLOOKUP(C8,[1]智慧家庭產品價格表.含稅!C:S,17,FALSE),0)</f>
        <v>1</v>
      </c>
      <c r="L8">
        <v>13</v>
      </c>
      <c r="M8">
        <f t="shared" si="0"/>
        <v>20.34</v>
      </c>
      <c r="N8">
        <v>0</v>
      </c>
      <c r="O8">
        <f t="shared" si="1"/>
        <v>661</v>
      </c>
      <c r="P8">
        <v>158</v>
      </c>
      <c r="Q8">
        <v>315</v>
      </c>
      <c r="R8" s="4">
        <v>3.3119999999999998</v>
      </c>
      <c r="S8" s="2">
        <v>1</v>
      </c>
      <c r="T8" s="2">
        <v>1.016</v>
      </c>
      <c r="U8" s="2">
        <v>1.0469999999999999</v>
      </c>
      <c r="V8" s="2">
        <v>1.0249999999999999</v>
      </c>
      <c r="W8" s="2">
        <v>1.071</v>
      </c>
      <c r="X8" s="2">
        <v>1.0580000000000001</v>
      </c>
      <c r="Y8">
        <f t="shared" si="2"/>
        <v>2189</v>
      </c>
      <c r="Z8">
        <f t="shared" si="3"/>
        <v>1861</v>
      </c>
      <c r="AA8">
        <f t="shared" si="4"/>
        <v>1668</v>
      </c>
      <c r="AB8">
        <f t="shared" si="5"/>
        <v>1146</v>
      </c>
      <c r="AC8">
        <f t="shared" si="6"/>
        <v>1458</v>
      </c>
      <c r="AD8">
        <f t="shared" si="7"/>
        <v>938</v>
      </c>
      <c r="AE8">
        <f t="shared" si="8"/>
        <v>1042</v>
      </c>
      <c r="AF8">
        <v>0.85</v>
      </c>
      <c r="AG8">
        <v>0.75</v>
      </c>
      <c r="AH8">
        <v>0.5</v>
      </c>
      <c r="AI8">
        <v>0.65</v>
      </c>
      <c r="AJ8">
        <v>0.4</v>
      </c>
      <c r="AK8">
        <v>0.45</v>
      </c>
    </row>
    <row r="9" spans="1:38" x14ac:dyDescent="0.45">
      <c r="A9" t="s">
        <v>36</v>
      </c>
      <c r="B9" t="s">
        <v>37</v>
      </c>
      <c r="C9" t="s">
        <v>56</v>
      </c>
      <c r="D9" t="s">
        <v>912</v>
      </c>
      <c r="E9" t="s">
        <v>38</v>
      </c>
      <c r="F9" t="s">
        <v>57</v>
      </c>
      <c r="G9" t="s">
        <v>58</v>
      </c>
      <c r="H9" t="s">
        <v>41</v>
      </c>
      <c r="I9">
        <v>32.5</v>
      </c>
      <c r="J9">
        <v>20</v>
      </c>
      <c r="K9">
        <f>IFERROR(VLOOKUP(C9,[1]智慧家庭產品價格表.含稅!C:S,17,FALSE),0)</f>
        <v>1</v>
      </c>
      <c r="L9">
        <v>13</v>
      </c>
      <c r="M9">
        <f t="shared" si="0"/>
        <v>23.73</v>
      </c>
      <c r="N9">
        <v>0</v>
      </c>
      <c r="O9">
        <f t="shared" si="1"/>
        <v>771</v>
      </c>
      <c r="P9">
        <v>158</v>
      </c>
      <c r="Q9">
        <v>315</v>
      </c>
      <c r="R9" s="4">
        <v>3.4449999999999998</v>
      </c>
      <c r="S9" s="2">
        <v>1</v>
      </c>
      <c r="T9" s="2">
        <v>1.016</v>
      </c>
      <c r="U9" s="2">
        <v>1.0469999999999999</v>
      </c>
      <c r="V9" s="2">
        <v>1.026</v>
      </c>
      <c r="W9" s="2">
        <v>1.071</v>
      </c>
      <c r="X9" s="2">
        <v>1.0580000000000001</v>
      </c>
      <c r="Y9">
        <f t="shared" si="2"/>
        <v>2656</v>
      </c>
      <c r="Z9">
        <f t="shared" si="3"/>
        <v>2258</v>
      </c>
      <c r="AA9">
        <f t="shared" si="4"/>
        <v>2024</v>
      </c>
      <c r="AB9">
        <f t="shared" si="5"/>
        <v>1390</v>
      </c>
      <c r="AC9">
        <f t="shared" si="6"/>
        <v>1771</v>
      </c>
      <c r="AD9">
        <f t="shared" si="7"/>
        <v>1138</v>
      </c>
      <c r="AE9">
        <f t="shared" si="8"/>
        <v>1265</v>
      </c>
      <c r="AF9">
        <v>0.85</v>
      </c>
      <c r="AG9">
        <v>0.75</v>
      </c>
      <c r="AH9">
        <v>0.5</v>
      </c>
      <c r="AI9">
        <v>0.65</v>
      </c>
      <c r="AJ9">
        <v>0.4</v>
      </c>
      <c r="AK9">
        <v>0.45</v>
      </c>
    </row>
    <row r="10" spans="1:38" x14ac:dyDescent="0.45">
      <c r="A10" t="s">
        <v>36</v>
      </c>
      <c r="B10" t="s">
        <v>37</v>
      </c>
      <c r="C10" t="s">
        <v>59</v>
      </c>
      <c r="D10" t="s">
        <v>913</v>
      </c>
      <c r="E10" t="s">
        <v>38</v>
      </c>
      <c r="F10" t="s">
        <v>51</v>
      </c>
      <c r="G10" t="s">
        <v>60</v>
      </c>
      <c r="H10" t="s">
        <v>41</v>
      </c>
      <c r="I10">
        <v>32.5</v>
      </c>
      <c r="J10">
        <v>20</v>
      </c>
      <c r="K10">
        <f>IFERROR(VLOOKUP(C10,[1]智慧家庭產品價格表.含稅!C:S,17,FALSE),0)</f>
        <v>1</v>
      </c>
      <c r="L10">
        <v>13</v>
      </c>
      <c r="M10">
        <f t="shared" si="0"/>
        <v>23.73</v>
      </c>
      <c r="N10">
        <v>0</v>
      </c>
      <c r="O10">
        <f t="shared" si="1"/>
        <v>771</v>
      </c>
      <c r="P10">
        <v>158</v>
      </c>
      <c r="Q10">
        <v>315</v>
      </c>
      <c r="R10" s="4">
        <v>3.4390000000000001</v>
      </c>
      <c r="S10" s="2">
        <v>1</v>
      </c>
      <c r="T10" s="2">
        <v>1.016</v>
      </c>
      <c r="U10" s="2">
        <v>1.048</v>
      </c>
      <c r="V10" s="2">
        <v>1.0249999999999999</v>
      </c>
      <c r="W10" s="2">
        <v>1.071</v>
      </c>
      <c r="X10" s="2">
        <v>1.0580000000000001</v>
      </c>
      <c r="Y10">
        <f t="shared" si="2"/>
        <v>2651</v>
      </c>
      <c r="Z10">
        <f t="shared" si="3"/>
        <v>2253</v>
      </c>
      <c r="AA10">
        <f t="shared" si="4"/>
        <v>2020</v>
      </c>
      <c r="AB10">
        <f t="shared" si="5"/>
        <v>1389</v>
      </c>
      <c r="AC10">
        <f t="shared" si="6"/>
        <v>1766</v>
      </c>
      <c r="AD10">
        <f t="shared" si="7"/>
        <v>1136</v>
      </c>
      <c r="AE10">
        <f t="shared" si="8"/>
        <v>1262</v>
      </c>
      <c r="AF10">
        <v>0.85</v>
      </c>
      <c r="AG10">
        <v>0.75</v>
      </c>
      <c r="AH10">
        <v>0.5</v>
      </c>
      <c r="AI10">
        <v>0.65</v>
      </c>
      <c r="AJ10">
        <v>0.4</v>
      </c>
      <c r="AK10">
        <v>0.45</v>
      </c>
    </row>
    <row r="11" spans="1:38" x14ac:dyDescent="0.45">
      <c r="A11" t="s">
        <v>36</v>
      </c>
      <c r="B11" t="s">
        <v>37</v>
      </c>
      <c r="C11" t="s">
        <v>61</v>
      </c>
      <c r="D11" t="s">
        <v>914</v>
      </c>
      <c r="E11" t="s">
        <v>38</v>
      </c>
      <c r="F11" t="s">
        <v>51</v>
      </c>
      <c r="G11" t="s">
        <v>62</v>
      </c>
      <c r="H11" t="s">
        <v>41</v>
      </c>
      <c r="I11">
        <v>32.5</v>
      </c>
      <c r="J11">
        <v>22.1</v>
      </c>
      <c r="K11">
        <f>IFERROR(VLOOKUP(C11,[1]智慧家庭產品價格表.含稅!C:S,17,FALSE),0)</f>
        <v>1</v>
      </c>
      <c r="L11">
        <v>13</v>
      </c>
      <c r="M11">
        <f t="shared" si="0"/>
        <v>26.1</v>
      </c>
      <c r="N11">
        <v>0</v>
      </c>
      <c r="O11">
        <f t="shared" si="1"/>
        <v>848</v>
      </c>
      <c r="P11">
        <v>158</v>
      </c>
      <c r="Q11">
        <v>315</v>
      </c>
      <c r="R11" s="4">
        <v>3.1269999999999998</v>
      </c>
      <c r="S11" s="2">
        <v>1</v>
      </c>
      <c r="T11" s="2">
        <v>1.016</v>
      </c>
      <c r="U11" s="2">
        <v>1.048</v>
      </c>
      <c r="V11" s="2">
        <v>1.0249999999999999</v>
      </c>
      <c r="W11" s="2">
        <v>1.071</v>
      </c>
      <c r="X11" s="2">
        <v>1.0580000000000001</v>
      </c>
      <c r="Y11">
        <f t="shared" si="2"/>
        <v>2652</v>
      </c>
      <c r="Z11">
        <f t="shared" si="3"/>
        <v>2254</v>
      </c>
      <c r="AA11">
        <f t="shared" si="4"/>
        <v>2021</v>
      </c>
      <c r="AB11">
        <f t="shared" si="5"/>
        <v>1390</v>
      </c>
      <c r="AC11">
        <f t="shared" si="6"/>
        <v>1767</v>
      </c>
      <c r="AD11">
        <f t="shared" si="7"/>
        <v>1136</v>
      </c>
      <c r="AE11">
        <f t="shared" si="8"/>
        <v>1263</v>
      </c>
      <c r="AF11">
        <v>0.85</v>
      </c>
      <c r="AG11">
        <v>0.75</v>
      </c>
      <c r="AH11">
        <v>0.5</v>
      </c>
      <c r="AI11">
        <v>0.65</v>
      </c>
      <c r="AJ11">
        <v>0.4</v>
      </c>
      <c r="AK11">
        <v>0.45</v>
      </c>
    </row>
    <row r="12" spans="1:38" x14ac:dyDescent="0.45">
      <c r="A12" t="s">
        <v>36</v>
      </c>
      <c r="B12" t="s">
        <v>37</v>
      </c>
      <c r="C12" t="s">
        <v>63</v>
      </c>
      <c r="D12" t="s">
        <v>915</v>
      </c>
      <c r="E12" t="s">
        <v>38</v>
      </c>
      <c r="F12" t="s">
        <v>57</v>
      </c>
      <c r="G12" t="s">
        <v>64</v>
      </c>
      <c r="H12" t="s">
        <v>41</v>
      </c>
      <c r="I12">
        <v>32.5</v>
      </c>
      <c r="J12">
        <v>21.9</v>
      </c>
      <c r="K12">
        <f>IFERROR(VLOOKUP(C12,[1]智慧家庭產品價格表.含稅!C:S,17,FALSE),0)</f>
        <v>1</v>
      </c>
      <c r="L12">
        <v>13</v>
      </c>
      <c r="M12">
        <f t="shared" si="0"/>
        <v>25.88</v>
      </c>
      <c r="N12">
        <v>0</v>
      </c>
      <c r="O12">
        <f t="shared" si="1"/>
        <v>841</v>
      </c>
      <c r="P12">
        <v>158</v>
      </c>
      <c r="Q12">
        <v>315</v>
      </c>
      <c r="R12" s="4">
        <v>3.1589999999999998</v>
      </c>
      <c r="S12" s="2">
        <v>1</v>
      </c>
      <c r="T12" s="2">
        <v>1.016</v>
      </c>
      <c r="U12" s="2">
        <v>1.0469999999999999</v>
      </c>
      <c r="V12" s="2">
        <v>1.026</v>
      </c>
      <c r="W12" s="2">
        <v>1.071</v>
      </c>
      <c r="X12" s="2">
        <v>1.0580000000000001</v>
      </c>
      <c r="Y12">
        <f t="shared" si="2"/>
        <v>2657</v>
      </c>
      <c r="Z12">
        <f t="shared" si="3"/>
        <v>2258</v>
      </c>
      <c r="AA12">
        <f t="shared" si="4"/>
        <v>2025</v>
      </c>
      <c r="AB12">
        <f t="shared" si="5"/>
        <v>1391</v>
      </c>
      <c r="AC12">
        <f t="shared" si="6"/>
        <v>1772</v>
      </c>
      <c r="AD12">
        <f t="shared" si="7"/>
        <v>1138</v>
      </c>
      <c r="AE12">
        <f t="shared" si="8"/>
        <v>1265</v>
      </c>
      <c r="AF12">
        <v>0.85</v>
      </c>
      <c r="AG12">
        <v>0.75</v>
      </c>
      <c r="AH12">
        <v>0.5</v>
      </c>
      <c r="AI12">
        <v>0.65</v>
      </c>
      <c r="AJ12">
        <v>0.4</v>
      </c>
      <c r="AK12">
        <v>0.45</v>
      </c>
    </row>
    <row r="13" spans="1:38" x14ac:dyDescent="0.45">
      <c r="A13" t="s">
        <v>36</v>
      </c>
      <c r="B13" t="s">
        <v>37</v>
      </c>
      <c r="C13" t="s">
        <v>65</v>
      </c>
      <c r="D13" t="s">
        <v>916</v>
      </c>
      <c r="E13" t="s">
        <v>38</v>
      </c>
      <c r="F13" t="s">
        <v>66</v>
      </c>
      <c r="G13" t="s">
        <v>67</v>
      </c>
      <c r="H13" t="s">
        <v>41</v>
      </c>
      <c r="I13">
        <v>32.5</v>
      </c>
      <c r="J13">
        <v>29</v>
      </c>
      <c r="K13">
        <f>IFERROR(VLOOKUP(C13,[1]智慧家庭產品價格表.含稅!C:S,17,FALSE),0)</f>
        <v>1</v>
      </c>
      <c r="L13">
        <v>13</v>
      </c>
      <c r="M13">
        <f t="shared" si="0"/>
        <v>33.9</v>
      </c>
      <c r="N13">
        <v>0</v>
      </c>
      <c r="O13">
        <f t="shared" si="1"/>
        <v>1102</v>
      </c>
      <c r="P13">
        <v>158</v>
      </c>
      <c r="Q13">
        <v>315</v>
      </c>
      <c r="R13" s="4">
        <v>3.391</v>
      </c>
      <c r="S13" s="2">
        <v>1</v>
      </c>
      <c r="T13" s="2">
        <v>1.0149999999999999</v>
      </c>
      <c r="U13" s="2">
        <v>1.0469999999999999</v>
      </c>
      <c r="V13" s="2">
        <v>1.026</v>
      </c>
      <c r="W13" s="2">
        <v>1.071</v>
      </c>
      <c r="X13" s="2">
        <v>1.0580000000000001</v>
      </c>
      <c r="Y13">
        <f t="shared" si="2"/>
        <v>3737</v>
      </c>
      <c r="Z13">
        <f t="shared" si="3"/>
        <v>3176</v>
      </c>
      <c r="AA13">
        <f t="shared" si="4"/>
        <v>2845</v>
      </c>
      <c r="AB13">
        <f t="shared" si="5"/>
        <v>1956</v>
      </c>
      <c r="AC13">
        <f t="shared" si="6"/>
        <v>2492</v>
      </c>
      <c r="AD13">
        <f t="shared" si="7"/>
        <v>1601</v>
      </c>
      <c r="AE13">
        <f t="shared" si="8"/>
        <v>1779</v>
      </c>
      <c r="AF13">
        <v>0.85</v>
      </c>
      <c r="AG13">
        <v>0.75</v>
      </c>
      <c r="AH13">
        <v>0.5</v>
      </c>
      <c r="AI13">
        <v>0.65</v>
      </c>
      <c r="AJ13">
        <v>0.4</v>
      </c>
      <c r="AK13">
        <v>0.45</v>
      </c>
    </row>
    <row r="14" spans="1:38" x14ac:dyDescent="0.45">
      <c r="A14" t="s">
        <v>36</v>
      </c>
      <c r="B14" t="s">
        <v>37</v>
      </c>
      <c r="C14" t="s">
        <v>68</v>
      </c>
      <c r="D14" t="s">
        <v>917</v>
      </c>
      <c r="E14" t="s">
        <v>38</v>
      </c>
      <c r="F14" t="s">
        <v>66</v>
      </c>
      <c r="G14" t="s">
        <v>69</v>
      </c>
      <c r="H14" t="s">
        <v>70</v>
      </c>
      <c r="I14">
        <v>32.5</v>
      </c>
      <c r="J14">
        <v>0</v>
      </c>
      <c r="K14">
        <f>IFERROR(VLOOKUP(C14,[1]智慧家庭產品價格表.含稅!C:S,17,FALSE),0)</f>
        <v>1</v>
      </c>
      <c r="L14">
        <v>13</v>
      </c>
      <c r="M14">
        <f t="shared" si="0"/>
        <v>1.1299999999999999</v>
      </c>
      <c r="N14">
        <v>0</v>
      </c>
      <c r="O14">
        <f t="shared" si="1"/>
        <v>37</v>
      </c>
      <c r="P14">
        <v>158</v>
      </c>
      <c r="Q14">
        <v>315</v>
      </c>
      <c r="R14" s="4">
        <v>100.973</v>
      </c>
      <c r="S14" s="2">
        <v>1</v>
      </c>
      <c r="T14" s="2">
        <v>1.016</v>
      </c>
      <c r="U14" s="2">
        <v>1.048</v>
      </c>
      <c r="V14" s="2">
        <v>1.026</v>
      </c>
      <c r="W14" s="2">
        <v>1.071</v>
      </c>
      <c r="X14" s="2">
        <v>1.0580000000000001</v>
      </c>
      <c r="Y14">
        <f t="shared" si="2"/>
        <v>3736</v>
      </c>
      <c r="Z14">
        <f t="shared" si="3"/>
        <v>3176</v>
      </c>
      <c r="AA14">
        <f t="shared" si="4"/>
        <v>2847</v>
      </c>
      <c r="AB14">
        <f t="shared" si="5"/>
        <v>1958</v>
      </c>
      <c r="AC14">
        <f t="shared" si="6"/>
        <v>2492</v>
      </c>
      <c r="AD14">
        <f t="shared" si="7"/>
        <v>1601</v>
      </c>
      <c r="AE14">
        <f t="shared" si="8"/>
        <v>1779</v>
      </c>
      <c r="AF14">
        <v>0.85</v>
      </c>
      <c r="AG14">
        <v>0.75</v>
      </c>
      <c r="AH14">
        <v>0.5</v>
      </c>
      <c r="AI14">
        <v>0.65</v>
      </c>
      <c r="AJ14">
        <v>0.4</v>
      </c>
      <c r="AK14">
        <v>0.45</v>
      </c>
    </row>
    <row r="15" spans="1:38" x14ac:dyDescent="0.45">
      <c r="A15" t="s">
        <v>36</v>
      </c>
      <c r="B15" t="s">
        <v>37</v>
      </c>
      <c r="C15" t="s">
        <v>71</v>
      </c>
      <c r="D15" t="s">
        <v>918</v>
      </c>
      <c r="E15" t="s">
        <v>38</v>
      </c>
      <c r="F15" t="s">
        <v>51</v>
      </c>
      <c r="G15" t="s">
        <v>72</v>
      </c>
      <c r="H15" t="s">
        <v>41</v>
      </c>
      <c r="I15">
        <v>32.5</v>
      </c>
      <c r="J15">
        <v>27</v>
      </c>
      <c r="K15">
        <f>IFERROR(VLOOKUP(C15,[1]智慧家庭產品價格表.含稅!C:S,17,FALSE),0)</f>
        <v>1</v>
      </c>
      <c r="L15">
        <v>13</v>
      </c>
      <c r="M15">
        <f t="shared" si="0"/>
        <v>31.64</v>
      </c>
      <c r="N15">
        <v>0</v>
      </c>
      <c r="O15">
        <f t="shared" si="1"/>
        <v>1028</v>
      </c>
      <c r="P15">
        <v>158</v>
      </c>
      <c r="Q15">
        <v>315</v>
      </c>
      <c r="R15" s="4">
        <v>3.37</v>
      </c>
      <c r="S15" s="2">
        <v>1</v>
      </c>
      <c r="T15" s="2">
        <v>1.016</v>
      </c>
      <c r="U15" s="2">
        <v>1.048</v>
      </c>
      <c r="V15" s="2">
        <v>1.0249999999999999</v>
      </c>
      <c r="W15" s="2">
        <v>1.0720000000000001</v>
      </c>
      <c r="X15" s="2">
        <v>1.0580000000000001</v>
      </c>
      <c r="Y15">
        <f t="shared" si="2"/>
        <v>3464</v>
      </c>
      <c r="Z15">
        <f t="shared" si="3"/>
        <v>2944</v>
      </c>
      <c r="AA15">
        <f t="shared" si="4"/>
        <v>2640</v>
      </c>
      <c r="AB15">
        <f t="shared" si="5"/>
        <v>1815</v>
      </c>
      <c r="AC15">
        <f t="shared" si="6"/>
        <v>2308</v>
      </c>
      <c r="AD15">
        <f t="shared" si="7"/>
        <v>1485</v>
      </c>
      <c r="AE15">
        <f t="shared" si="8"/>
        <v>1649</v>
      </c>
      <c r="AF15">
        <v>0.85</v>
      </c>
      <c r="AG15">
        <v>0.75</v>
      </c>
      <c r="AH15">
        <v>0.5</v>
      </c>
      <c r="AI15">
        <v>0.65</v>
      </c>
      <c r="AJ15">
        <v>0.4</v>
      </c>
      <c r="AK15">
        <v>0.45</v>
      </c>
    </row>
    <row r="16" spans="1:38" x14ac:dyDescent="0.45">
      <c r="A16" t="s">
        <v>36</v>
      </c>
      <c r="B16" t="s">
        <v>37</v>
      </c>
      <c r="C16" t="s">
        <v>73</v>
      </c>
      <c r="D16" t="s">
        <v>919</v>
      </c>
      <c r="E16" t="s">
        <v>38</v>
      </c>
      <c r="F16" t="s">
        <v>74</v>
      </c>
      <c r="G16" t="s">
        <v>75</v>
      </c>
      <c r="H16" t="s">
        <v>41</v>
      </c>
      <c r="I16">
        <v>32.5</v>
      </c>
      <c r="J16">
        <v>23</v>
      </c>
      <c r="K16">
        <f>IFERROR(VLOOKUP(C16,[1]智慧家庭產品價格表.含稅!C:S,17,FALSE),0)</f>
        <v>1</v>
      </c>
      <c r="L16">
        <v>13</v>
      </c>
      <c r="M16">
        <f t="shared" si="0"/>
        <v>27.12</v>
      </c>
      <c r="N16">
        <v>0</v>
      </c>
      <c r="O16">
        <f t="shared" si="1"/>
        <v>881</v>
      </c>
      <c r="P16">
        <v>158</v>
      </c>
      <c r="Q16">
        <v>315</v>
      </c>
      <c r="R16" s="4">
        <v>3.38</v>
      </c>
      <c r="S16" s="2">
        <v>1</v>
      </c>
      <c r="T16" s="2">
        <v>1.016</v>
      </c>
      <c r="U16" s="2">
        <v>1.0469999999999999</v>
      </c>
      <c r="V16" s="2">
        <v>1.026</v>
      </c>
      <c r="W16" s="2">
        <v>1.071</v>
      </c>
      <c r="X16" s="2">
        <v>1.0580000000000001</v>
      </c>
      <c r="Y16">
        <f t="shared" si="2"/>
        <v>2978</v>
      </c>
      <c r="Z16">
        <f t="shared" si="3"/>
        <v>2531</v>
      </c>
      <c r="AA16">
        <f t="shared" si="4"/>
        <v>2269</v>
      </c>
      <c r="AB16">
        <f t="shared" si="5"/>
        <v>1559</v>
      </c>
      <c r="AC16">
        <f t="shared" si="6"/>
        <v>1986</v>
      </c>
      <c r="AD16">
        <f t="shared" si="7"/>
        <v>1276</v>
      </c>
      <c r="AE16">
        <f t="shared" si="8"/>
        <v>1418</v>
      </c>
      <c r="AF16">
        <v>0.85</v>
      </c>
      <c r="AG16">
        <v>0.75</v>
      </c>
      <c r="AH16">
        <v>0.5</v>
      </c>
      <c r="AI16">
        <v>0.65</v>
      </c>
      <c r="AJ16">
        <v>0.4</v>
      </c>
      <c r="AK16">
        <v>0.45</v>
      </c>
    </row>
    <row r="17" spans="1:38" x14ac:dyDescent="0.45">
      <c r="A17" t="s">
        <v>36</v>
      </c>
      <c r="B17" t="s">
        <v>37</v>
      </c>
      <c r="C17" t="s">
        <v>76</v>
      </c>
      <c r="D17" t="s">
        <v>920</v>
      </c>
      <c r="E17" t="s">
        <v>38</v>
      </c>
      <c r="F17" t="s">
        <v>51</v>
      </c>
      <c r="G17" t="s">
        <v>77</v>
      </c>
      <c r="H17" t="s">
        <v>41</v>
      </c>
      <c r="I17">
        <v>32.5</v>
      </c>
      <c r="J17">
        <v>29.52</v>
      </c>
      <c r="K17">
        <f>IFERROR(VLOOKUP(C17,[1]智慧家庭產品價格表.含稅!C:S,17,FALSE),0)</f>
        <v>1</v>
      </c>
      <c r="L17">
        <v>13</v>
      </c>
      <c r="M17">
        <f t="shared" si="0"/>
        <v>34.49</v>
      </c>
      <c r="N17">
        <v>0</v>
      </c>
      <c r="O17">
        <f t="shared" si="1"/>
        <v>1121</v>
      </c>
      <c r="P17">
        <v>158</v>
      </c>
      <c r="Q17">
        <v>315</v>
      </c>
      <c r="R17" s="4">
        <v>3.0910000000000002</v>
      </c>
      <c r="S17" s="2">
        <v>1</v>
      </c>
      <c r="T17" s="2">
        <v>1.0149999999999999</v>
      </c>
      <c r="U17" s="2">
        <v>1.048</v>
      </c>
      <c r="V17" s="2">
        <v>1.0249999999999999</v>
      </c>
      <c r="W17" s="2">
        <v>1.071</v>
      </c>
      <c r="X17" s="2">
        <v>1.0580000000000001</v>
      </c>
      <c r="Y17">
        <f t="shared" si="2"/>
        <v>3465</v>
      </c>
      <c r="Z17">
        <f t="shared" si="3"/>
        <v>2945</v>
      </c>
      <c r="AA17">
        <f t="shared" si="4"/>
        <v>2638</v>
      </c>
      <c r="AB17">
        <f t="shared" si="5"/>
        <v>1816</v>
      </c>
      <c r="AC17">
        <f t="shared" si="6"/>
        <v>2309</v>
      </c>
      <c r="AD17">
        <f t="shared" si="7"/>
        <v>1484</v>
      </c>
      <c r="AE17">
        <f t="shared" si="8"/>
        <v>1650</v>
      </c>
      <c r="AF17">
        <v>0.85</v>
      </c>
      <c r="AG17">
        <v>0.75</v>
      </c>
      <c r="AH17">
        <v>0.5</v>
      </c>
      <c r="AI17">
        <v>0.65</v>
      </c>
      <c r="AJ17">
        <v>0.4</v>
      </c>
      <c r="AK17">
        <v>0.45</v>
      </c>
    </row>
    <row r="18" spans="1:38" x14ac:dyDescent="0.45">
      <c r="A18" t="s">
        <v>36</v>
      </c>
      <c r="B18" t="s">
        <v>37</v>
      </c>
      <c r="C18" t="s">
        <v>78</v>
      </c>
      <c r="D18" t="s">
        <v>921</v>
      </c>
      <c r="E18" t="s">
        <v>38</v>
      </c>
      <c r="F18" t="s">
        <v>74</v>
      </c>
      <c r="G18" t="s">
        <v>79</v>
      </c>
      <c r="H18" t="s">
        <v>41</v>
      </c>
      <c r="I18">
        <v>32.5</v>
      </c>
      <c r="J18">
        <v>24.57</v>
      </c>
      <c r="K18">
        <f>IFERROR(VLOOKUP(C18,[1]智慧家庭產品價格表.含稅!C:S,17,FALSE),0)</f>
        <v>1</v>
      </c>
      <c r="L18">
        <v>13</v>
      </c>
      <c r="M18">
        <f t="shared" si="0"/>
        <v>28.89</v>
      </c>
      <c r="N18">
        <v>0</v>
      </c>
      <c r="O18">
        <f t="shared" si="1"/>
        <v>939</v>
      </c>
      <c r="P18">
        <v>158</v>
      </c>
      <c r="Q18">
        <v>315</v>
      </c>
      <c r="R18" s="4">
        <v>3.1680000000000001</v>
      </c>
      <c r="S18" s="2">
        <v>1</v>
      </c>
      <c r="T18" s="2">
        <v>1.016</v>
      </c>
      <c r="U18" s="2">
        <v>1.0469999999999999</v>
      </c>
      <c r="V18" s="2">
        <v>1.0249999999999999</v>
      </c>
      <c r="W18" s="2">
        <v>1.071</v>
      </c>
      <c r="X18" s="2">
        <v>1.0580000000000001</v>
      </c>
      <c r="Y18">
        <f t="shared" si="2"/>
        <v>2975</v>
      </c>
      <c r="Z18">
        <f t="shared" si="3"/>
        <v>2529</v>
      </c>
      <c r="AA18">
        <f t="shared" si="4"/>
        <v>2267</v>
      </c>
      <c r="AB18">
        <f t="shared" si="5"/>
        <v>1557</v>
      </c>
      <c r="AC18">
        <f t="shared" si="6"/>
        <v>1982</v>
      </c>
      <c r="AD18">
        <f t="shared" si="7"/>
        <v>1274</v>
      </c>
      <c r="AE18">
        <f t="shared" si="8"/>
        <v>1416</v>
      </c>
      <c r="AF18">
        <v>0.85</v>
      </c>
      <c r="AG18">
        <v>0.75</v>
      </c>
      <c r="AH18">
        <v>0.5</v>
      </c>
      <c r="AI18">
        <v>0.65</v>
      </c>
      <c r="AJ18">
        <v>0.4</v>
      </c>
      <c r="AK18">
        <v>0.45</v>
      </c>
    </row>
    <row r="19" spans="1:38" x14ac:dyDescent="0.45">
      <c r="A19" t="s">
        <v>36</v>
      </c>
      <c r="B19" t="s">
        <v>37</v>
      </c>
      <c r="C19" t="s">
        <v>80</v>
      </c>
      <c r="D19" t="s">
        <v>922</v>
      </c>
      <c r="E19" t="s">
        <v>81</v>
      </c>
      <c r="F19" t="s">
        <v>82</v>
      </c>
      <c r="G19" t="s">
        <v>83</v>
      </c>
      <c r="H19" t="s">
        <v>41</v>
      </c>
      <c r="I19">
        <v>32.5</v>
      </c>
      <c r="J19">
        <v>30.82</v>
      </c>
      <c r="K19">
        <f>IFERROR(VLOOKUP(C19,[1]智慧家庭產品價格表.含稅!C:S,17,FALSE),0)</f>
        <v>1</v>
      </c>
      <c r="L19">
        <v>13</v>
      </c>
      <c r="M19">
        <f t="shared" si="0"/>
        <v>35.96</v>
      </c>
      <c r="N19">
        <v>0</v>
      </c>
      <c r="O19">
        <f t="shared" si="1"/>
        <v>1169</v>
      </c>
      <c r="P19">
        <v>315</v>
      </c>
      <c r="Q19">
        <v>525</v>
      </c>
      <c r="R19" s="4">
        <v>3.7149999999999999</v>
      </c>
      <c r="S19" s="2">
        <v>0.94099999999999995</v>
      </c>
      <c r="T19" s="2">
        <v>0.95199999999999996</v>
      </c>
      <c r="U19" s="2">
        <v>0.95199999999999996</v>
      </c>
      <c r="V19" s="2">
        <v>0.95199999999999996</v>
      </c>
      <c r="W19" s="2">
        <v>0.95199999999999996</v>
      </c>
      <c r="X19" s="2">
        <v>0.95199999999999996</v>
      </c>
      <c r="Y19">
        <f t="shared" si="2"/>
        <v>4343</v>
      </c>
      <c r="Z19">
        <f t="shared" si="3"/>
        <v>3474</v>
      </c>
      <c r="AA19">
        <f t="shared" si="4"/>
        <v>3101</v>
      </c>
      <c r="AB19">
        <f t="shared" si="5"/>
        <v>2067</v>
      </c>
      <c r="AC19">
        <f t="shared" si="6"/>
        <v>2687</v>
      </c>
      <c r="AD19">
        <f t="shared" si="7"/>
        <v>1654</v>
      </c>
      <c r="AE19">
        <f t="shared" si="8"/>
        <v>1861</v>
      </c>
      <c r="AF19">
        <v>0.85</v>
      </c>
      <c r="AG19">
        <v>0.75</v>
      </c>
      <c r="AH19">
        <v>0.5</v>
      </c>
      <c r="AI19">
        <v>0.65</v>
      </c>
      <c r="AJ19">
        <v>0.4</v>
      </c>
      <c r="AK19">
        <v>0.45</v>
      </c>
    </row>
    <row r="20" spans="1:38" x14ac:dyDescent="0.45">
      <c r="A20" t="s">
        <v>36</v>
      </c>
      <c r="B20" t="s">
        <v>37</v>
      </c>
      <c r="C20" t="s">
        <v>84</v>
      </c>
      <c r="D20" t="s">
        <v>923</v>
      </c>
      <c r="E20" t="s">
        <v>85</v>
      </c>
      <c r="F20" t="s">
        <v>86</v>
      </c>
      <c r="G20" t="s">
        <v>87</v>
      </c>
      <c r="H20" t="s">
        <v>41</v>
      </c>
      <c r="I20">
        <v>32.5</v>
      </c>
      <c r="J20">
        <v>8.5</v>
      </c>
      <c r="K20">
        <f>IFERROR(VLOOKUP(C20,[1]智慧家庭產品價格表.含稅!C:S,17,FALSE),0)</f>
        <v>1</v>
      </c>
      <c r="L20">
        <v>13</v>
      </c>
      <c r="M20">
        <f t="shared" si="0"/>
        <v>10.74</v>
      </c>
      <c r="N20">
        <v>0</v>
      </c>
      <c r="O20">
        <f t="shared" si="1"/>
        <v>349</v>
      </c>
      <c r="P20">
        <v>105</v>
      </c>
      <c r="Q20">
        <v>0</v>
      </c>
      <c r="R20" s="4">
        <v>2.0059999999999998</v>
      </c>
      <c r="S20" s="2">
        <v>1.1759999999999999</v>
      </c>
      <c r="T20" s="2">
        <v>1.206</v>
      </c>
      <c r="U20" s="2">
        <v>1.3340000000000001</v>
      </c>
      <c r="V20" s="2">
        <v>1.246</v>
      </c>
      <c r="W20" s="2">
        <v>1.4279999999999999</v>
      </c>
      <c r="X20" s="2">
        <v>1.3740000000000001</v>
      </c>
      <c r="Y20">
        <f t="shared" si="2"/>
        <v>700</v>
      </c>
      <c r="Z20">
        <f t="shared" si="3"/>
        <v>700</v>
      </c>
      <c r="AA20">
        <f t="shared" si="4"/>
        <v>633</v>
      </c>
      <c r="AB20">
        <f t="shared" si="5"/>
        <v>467</v>
      </c>
      <c r="AC20">
        <f t="shared" si="6"/>
        <v>567</v>
      </c>
      <c r="AD20">
        <f t="shared" si="7"/>
        <v>400</v>
      </c>
      <c r="AE20">
        <f t="shared" si="8"/>
        <v>433</v>
      </c>
      <c r="AF20">
        <v>0.85</v>
      </c>
      <c r="AG20">
        <v>0.75</v>
      </c>
      <c r="AH20">
        <v>0.5</v>
      </c>
      <c r="AI20">
        <v>0.65</v>
      </c>
      <c r="AJ20">
        <v>0.4</v>
      </c>
      <c r="AK20">
        <v>0.45</v>
      </c>
    </row>
    <row r="21" spans="1:38" x14ac:dyDescent="0.45">
      <c r="A21" t="s">
        <v>36</v>
      </c>
      <c r="B21" t="s">
        <v>37</v>
      </c>
      <c r="C21" t="s">
        <v>88</v>
      </c>
      <c r="D21" t="s">
        <v>924</v>
      </c>
      <c r="E21" t="s">
        <v>85</v>
      </c>
      <c r="F21" t="s">
        <v>89</v>
      </c>
      <c r="G21" t="s">
        <v>90</v>
      </c>
      <c r="H21" t="s">
        <v>41</v>
      </c>
      <c r="I21">
        <v>32.5</v>
      </c>
      <c r="J21">
        <v>35</v>
      </c>
      <c r="K21">
        <f>IFERROR(VLOOKUP(C21,[1]智慧家庭產品價格表.含稅!C:S,17,FALSE),0)</f>
        <v>6</v>
      </c>
      <c r="L21">
        <v>13</v>
      </c>
      <c r="M21">
        <f t="shared" si="0"/>
        <v>46.33</v>
      </c>
      <c r="N21">
        <v>75</v>
      </c>
      <c r="O21">
        <f t="shared" si="1"/>
        <v>1581</v>
      </c>
      <c r="P21">
        <v>210</v>
      </c>
      <c r="Q21">
        <v>525</v>
      </c>
      <c r="R21" s="4">
        <v>2.097</v>
      </c>
      <c r="S21" s="2">
        <v>1.1759999999999999</v>
      </c>
      <c r="T21" s="2">
        <v>1.206</v>
      </c>
      <c r="U21" s="2">
        <v>1.333</v>
      </c>
      <c r="V21" s="2">
        <v>1.2450000000000001</v>
      </c>
      <c r="W21" s="2">
        <v>1.4279999999999999</v>
      </c>
      <c r="X21" s="2">
        <v>1.375</v>
      </c>
      <c r="Y21">
        <f t="shared" si="2"/>
        <v>3315</v>
      </c>
      <c r="Z21">
        <f t="shared" si="3"/>
        <v>3314</v>
      </c>
      <c r="AA21">
        <f t="shared" si="4"/>
        <v>2998</v>
      </c>
      <c r="AB21">
        <f t="shared" si="5"/>
        <v>2209</v>
      </c>
      <c r="AC21">
        <f t="shared" si="6"/>
        <v>2683</v>
      </c>
      <c r="AD21">
        <f t="shared" si="7"/>
        <v>1894</v>
      </c>
      <c r="AE21">
        <f t="shared" si="8"/>
        <v>2051</v>
      </c>
      <c r="AF21">
        <v>0.85</v>
      </c>
      <c r="AG21">
        <v>0.75</v>
      </c>
      <c r="AH21">
        <v>0.5</v>
      </c>
      <c r="AI21">
        <v>0.65</v>
      </c>
      <c r="AJ21">
        <v>0.4</v>
      </c>
      <c r="AK21">
        <v>0.45</v>
      </c>
    </row>
    <row r="22" spans="1:38" x14ac:dyDescent="0.45">
      <c r="A22" t="s">
        <v>36</v>
      </c>
      <c r="B22" t="s">
        <v>37</v>
      </c>
      <c r="C22" t="s">
        <v>91</v>
      </c>
      <c r="D22" t="s">
        <v>925</v>
      </c>
      <c r="E22" t="s">
        <v>81</v>
      </c>
      <c r="F22" t="s">
        <v>92</v>
      </c>
      <c r="G22" t="s">
        <v>93</v>
      </c>
      <c r="H22" t="s">
        <v>41</v>
      </c>
      <c r="I22">
        <v>32.5</v>
      </c>
      <c r="J22">
        <v>143</v>
      </c>
      <c r="K22">
        <f>IFERROR(VLOOKUP(C22,[1]智慧家庭產品價格表.含稅!C:S,17,FALSE),0)</f>
        <v>1</v>
      </c>
      <c r="L22">
        <v>13</v>
      </c>
      <c r="M22">
        <f t="shared" si="0"/>
        <v>162.72</v>
      </c>
      <c r="N22">
        <v>0</v>
      </c>
      <c r="O22">
        <f t="shared" si="1"/>
        <v>5288</v>
      </c>
      <c r="P22">
        <v>525</v>
      </c>
      <c r="Q22">
        <v>525</v>
      </c>
      <c r="R22" s="4">
        <v>3.5840000000000001</v>
      </c>
      <c r="S22" s="2">
        <v>0.94099999999999995</v>
      </c>
      <c r="T22" s="2">
        <v>0.95199999999999996</v>
      </c>
      <c r="U22" s="2">
        <v>0.95199999999999996</v>
      </c>
      <c r="V22" s="2">
        <v>0.95199999999999996</v>
      </c>
      <c r="W22" s="2">
        <v>0.95199999999999996</v>
      </c>
      <c r="X22" s="2">
        <v>0.95199999999999996</v>
      </c>
      <c r="Y22">
        <f t="shared" si="2"/>
        <v>18952</v>
      </c>
      <c r="Z22">
        <f t="shared" si="3"/>
        <v>15159</v>
      </c>
      <c r="AA22">
        <f t="shared" si="4"/>
        <v>13532</v>
      </c>
      <c r="AB22">
        <f t="shared" si="5"/>
        <v>9021</v>
      </c>
      <c r="AC22">
        <f t="shared" si="6"/>
        <v>11727</v>
      </c>
      <c r="AD22">
        <f t="shared" si="7"/>
        <v>7217</v>
      </c>
      <c r="AE22">
        <f t="shared" si="8"/>
        <v>8119</v>
      </c>
      <c r="AF22">
        <v>0.85</v>
      </c>
      <c r="AG22">
        <v>0.75</v>
      </c>
      <c r="AH22">
        <v>0.5</v>
      </c>
      <c r="AI22">
        <v>0.65</v>
      </c>
      <c r="AJ22">
        <v>0.4</v>
      </c>
      <c r="AK22">
        <v>0.45</v>
      </c>
    </row>
    <row r="23" spans="1:38" x14ac:dyDescent="0.45">
      <c r="A23" t="s">
        <v>36</v>
      </c>
      <c r="B23" t="s">
        <v>37</v>
      </c>
      <c r="C23" t="s">
        <v>94</v>
      </c>
      <c r="D23" t="s">
        <v>926</v>
      </c>
      <c r="E23" t="s">
        <v>81</v>
      </c>
      <c r="F23" t="s">
        <v>89</v>
      </c>
      <c r="G23" t="s">
        <v>95</v>
      </c>
      <c r="H23" t="s">
        <v>41</v>
      </c>
      <c r="I23">
        <v>32.5</v>
      </c>
      <c r="J23">
        <v>54</v>
      </c>
      <c r="K23">
        <f>IFERROR(VLOOKUP(C23,[1]智慧家庭產品價格表.含稅!C:S,17,FALSE),0)</f>
        <v>6</v>
      </c>
      <c r="L23">
        <v>13</v>
      </c>
      <c r="M23">
        <f t="shared" si="0"/>
        <v>67.8</v>
      </c>
      <c r="N23">
        <v>75</v>
      </c>
      <c r="O23">
        <f t="shared" si="1"/>
        <v>2279</v>
      </c>
      <c r="P23">
        <v>210</v>
      </c>
      <c r="Q23">
        <v>525</v>
      </c>
      <c r="R23" s="4">
        <v>2.1040000000000001</v>
      </c>
      <c r="S23" s="2">
        <v>1.1759999999999999</v>
      </c>
      <c r="T23" s="2">
        <v>1.206</v>
      </c>
      <c r="U23" s="2">
        <v>1.333</v>
      </c>
      <c r="V23" s="2">
        <v>1.2450000000000001</v>
      </c>
      <c r="W23" s="2">
        <v>1.4279999999999999</v>
      </c>
      <c r="X23" s="2">
        <v>1.375</v>
      </c>
      <c r="Y23">
        <f t="shared" si="2"/>
        <v>4795</v>
      </c>
      <c r="Z23">
        <f t="shared" si="3"/>
        <v>4793</v>
      </c>
      <c r="AA23">
        <f t="shared" si="4"/>
        <v>4337</v>
      </c>
      <c r="AB23">
        <f t="shared" si="5"/>
        <v>3196</v>
      </c>
      <c r="AC23">
        <f t="shared" si="6"/>
        <v>3880</v>
      </c>
      <c r="AD23">
        <f t="shared" si="7"/>
        <v>2739</v>
      </c>
      <c r="AE23">
        <f t="shared" si="8"/>
        <v>2967</v>
      </c>
      <c r="AF23">
        <v>0.85</v>
      </c>
      <c r="AG23">
        <v>0.75</v>
      </c>
      <c r="AH23">
        <v>0.5</v>
      </c>
      <c r="AI23">
        <v>0.65</v>
      </c>
      <c r="AJ23">
        <v>0.4</v>
      </c>
      <c r="AK23">
        <v>0.45</v>
      </c>
      <c r="AL23" t="s">
        <v>96</v>
      </c>
    </row>
    <row r="24" spans="1:38" x14ac:dyDescent="0.45">
      <c r="A24" t="s">
        <v>36</v>
      </c>
      <c r="B24" t="s">
        <v>37</v>
      </c>
      <c r="C24" t="s">
        <v>97</v>
      </c>
      <c r="D24" t="s">
        <v>98</v>
      </c>
      <c r="E24" t="s">
        <v>38</v>
      </c>
      <c r="F24" t="s">
        <v>99</v>
      </c>
      <c r="G24" t="s">
        <v>100</v>
      </c>
      <c r="H24" t="s">
        <v>41</v>
      </c>
      <c r="I24">
        <v>32.5</v>
      </c>
      <c r="J24">
        <v>30.46</v>
      </c>
      <c r="K24">
        <f>IFERROR(VLOOKUP(C24,[1]智慧家庭產品價格表.含稅!C:S,17,FALSE),0)</f>
        <v>1</v>
      </c>
      <c r="L24">
        <v>13</v>
      </c>
      <c r="M24">
        <f t="shared" si="0"/>
        <v>35.549999999999997</v>
      </c>
      <c r="N24">
        <v>20</v>
      </c>
      <c r="O24">
        <f t="shared" si="1"/>
        <v>1175</v>
      </c>
      <c r="P24">
        <v>158</v>
      </c>
      <c r="Q24">
        <v>315</v>
      </c>
      <c r="R24" s="4">
        <v>3.7090000000000001</v>
      </c>
      <c r="S24" s="2">
        <v>0.94099999999999995</v>
      </c>
      <c r="T24" s="2">
        <v>0.95199999999999996</v>
      </c>
      <c r="U24" s="2">
        <v>0.95199999999999996</v>
      </c>
      <c r="V24" s="2">
        <v>0.95199999999999996</v>
      </c>
      <c r="W24" s="2">
        <v>0.95199999999999996</v>
      </c>
      <c r="X24" s="2">
        <v>0.95199999999999996</v>
      </c>
      <c r="Y24">
        <f t="shared" si="2"/>
        <v>4358</v>
      </c>
      <c r="Z24">
        <f t="shared" si="3"/>
        <v>3486</v>
      </c>
      <c r="AA24">
        <f t="shared" si="4"/>
        <v>3112</v>
      </c>
      <c r="AB24">
        <f t="shared" si="5"/>
        <v>2074</v>
      </c>
      <c r="AC24">
        <f t="shared" si="6"/>
        <v>2697</v>
      </c>
      <c r="AD24">
        <f t="shared" si="7"/>
        <v>1660</v>
      </c>
      <c r="AE24">
        <f t="shared" si="8"/>
        <v>1867</v>
      </c>
      <c r="AF24">
        <v>0.85</v>
      </c>
      <c r="AG24">
        <v>0.75</v>
      </c>
      <c r="AH24">
        <v>0.5</v>
      </c>
      <c r="AI24">
        <v>0.65</v>
      </c>
      <c r="AJ24">
        <v>0.4</v>
      </c>
      <c r="AK24">
        <v>0.45</v>
      </c>
      <c r="AL24" t="s">
        <v>101</v>
      </c>
    </row>
    <row r="25" spans="1:38" x14ac:dyDescent="0.45">
      <c r="A25" t="s">
        <v>36</v>
      </c>
      <c r="B25" t="s">
        <v>37</v>
      </c>
      <c r="C25" t="s">
        <v>102</v>
      </c>
      <c r="D25" t="s">
        <v>103</v>
      </c>
      <c r="E25" t="s">
        <v>38</v>
      </c>
      <c r="F25" t="s">
        <v>104</v>
      </c>
      <c r="G25" t="s">
        <v>105</v>
      </c>
      <c r="H25" t="s">
        <v>41</v>
      </c>
      <c r="I25">
        <v>32.5</v>
      </c>
      <c r="J25">
        <v>30.46</v>
      </c>
      <c r="K25">
        <f>IFERROR(VLOOKUP(C25,[1]智慧家庭產品價格表.含稅!C:S,17,FALSE),0)</f>
        <v>1</v>
      </c>
      <c r="L25">
        <v>13</v>
      </c>
      <c r="M25">
        <f t="shared" si="0"/>
        <v>35.549999999999997</v>
      </c>
      <c r="N25">
        <v>20</v>
      </c>
      <c r="O25">
        <f t="shared" si="1"/>
        <v>1175</v>
      </c>
      <c r="P25">
        <v>158</v>
      </c>
      <c r="Q25">
        <v>315</v>
      </c>
      <c r="R25" s="4">
        <v>3.7090000000000001</v>
      </c>
      <c r="S25" s="2">
        <v>0.94099999999999995</v>
      </c>
      <c r="T25" s="2">
        <v>0.95199999999999996</v>
      </c>
      <c r="U25" s="2">
        <v>0.95199999999999996</v>
      </c>
      <c r="V25" s="2">
        <v>0.95199999999999996</v>
      </c>
      <c r="W25" s="2">
        <v>0.95199999999999996</v>
      </c>
      <c r="X25" s="2">
        <v>0.95199999999999996</v>
      </c>
      <c r="Y25">
        <f t="shared" si="2"/>
        <v>4358</v>
      </c>
      <c r="Z25">
        <f t="shared" si="3"/>
        <v>3486</v>
      </c>
      <c r="AA25">
        <f t="shared" si="4"/>
        <v>3112</v>
      </c>
      <c r="AB25">
        <f t="shared" si="5"/>
        <v>2074</v>
      </c>
      <c r="AC25">
        <f t="shared" si="6"/>
        <v>2697</v>
      </c>
      <c r="AD25">
        <f t="shared" si="7"/>
        <v>1660</v>
      </c>
      <c r="AE25">
        <f t="shared" si="8"/>
        <v>1867</v>
      </c>
      <c r="AF25">
        <v>0.85</v>
      </c>
      <c r="AG25">
        <v>0.75</v>
      </c>
      <c r="AH25">
        <v>0.5</v>
      </c>
      <c r="AI25">
        <v>0.65</v>
      </c>
      <c r="AJ25">
        <v>0.4</v>
      </c>
      <c r="AK25">
        <v>0.45</v>
      </c>
      <c r="AL25" t="s">
        <v>101</v>
      </c>
    </row>
    <row r="26" spans="1:38" x14ac:dyDescent="0.45">
      <c r="A26" t="s">
        <v>36</v>
      </c>
      <c r="B26" t="s">
        <v>37</v>
      </c>
      <c r="C26" t="s">
        <v>106</v>
      </c>
      <c r="D26" t="s">
        <v>107</v>
      </c>
      <c r="E26" t="s">
        <v>38</v>
      </c>
      <c r="F26" t="s">
        <v>108</v>
      </c>
      <c r="G26" t="s">
        <v>109</v>
      </c>
      <c r="H26" t="s">
        <v>41</v>
      </c>
      <c r="I26">
        <v>32.5</v>
      </c>
      <c r="J26">
        <v>30.46</v>
      </c>
      <c r="K26">
        <f>IFERROR(VLOOKUP(C26,[1]智慧家庭產品價格表.含稅!C:S,17,FALSE),0)</f>
        <v>1</v>
      </c>
      <c r="L26">
        <v>13</v>
      </c>
      <c r="M26">
        <f t="shared" si="0"/>
        <v>35.549999999999997</v>
      </c>
      <c r="N26">
        <v>20</v>
      </c>
      <c r="O26">
        <f t="shared" si="1"/>
        <v>1175</v>
      </c>
      <c r="P26">
        <v>158</v>
      </c>
      <c r="Q26">
        <v>315</v>
      </c>
      <c r="R26" s="4">
        <v>3.7050000000000001</v>
      </c>
      <c r="S26" s="2">
        <v>0.94099999999999995</v>
      </c>
      <c r="T26" s="2">
        <v>0.95299999999999996</v>
      </c>
      <c r="U26" s="2">
        <v>0.95199999999999996</v>
      </c>
      <c r="V26" s="2">
        <v>0.95199999999999996</v>
      </c>
      <c r="W26" s="2">
        <v>0.95199999999999996</v>
      </c>
      <c r="X26" s="2">
        <v>0.95199999999999996</v>
      </c>
      <c r="Y26">
        <f t="shared" si="2"/>
        <v>4353</v>
      </c>
      <c r="Z26">
        <f t="shared" si="3"/>
        <v>3482</v>
      </c>
      <c r="AA26">
        <f t="shared" si="4"/>
        <v>3111</v>
      </c>
      <c r="AB26">
        <f t="shared" si="5"/>
        <v>2072</v>
      </c>
      <c r="AC26">
        <f t="shared" si="6"/>
        <v>2694</v>
      </c>
      <c r="AD26">
        <f t="shared" si="7"/>
        <v>1658</v>
      </c>
      <c r="AE26">
        <f t="shared" si="8"/>
        <v>1865</v>
      </c>
      <c r="AF26">
        <v>0.85</v>
      </c>
      <c r="AG26">
        <v>0.75</v>
      </c>
      <c r="AH26">
        <v>0.5</v>
      </c>
      <c r="AI26">
        <v>0.65</v>
      </c>
      <c r="AJ26">
        <v>0.4</v>
      </c>
      <c r="AK26">
        <v>0.45</v>
      </c>
      <c r="AL26" t="s">
        <v>101</v>
      </c>
    </row>
    <row r="27" spans="1:38" x14ac:dyDescent="0.45">
      <c r="A27" t="s">
        <v>36</v>
      </c>
      <c r="B27" t="s">
        <v>37</v>
      </c>
      <c r="C27" t="s">
        <v>110</v>
      </c>
      <c r="D27" t="s">
        <v>111</v>
      </c>
      <c r="E27" t="s">
        <v>38</v>
      </c>
      <c r="F27" t="s">
        <v>112</v>
      </c>
      <c r="G27" t="s">
        <v>113</v>
      </c>
      <c r="H27" t="s">
        <v>41</v>
      </c>
      <c r="I27">
        <v>32.5</v>
      </c>
      <c r="J27">
        <v>30.46</v>
      </c>
      <c r="K27">
        <f>IFERROR(VLOOKUP(C27,[1]智慧家庭產品價格表.含稅!C:S,17,FALSE),0)</f>
        <v>1</v>
      </c>
      <c r="L27">
        <v>13</v>
      </c>
      <c r="M27">
        <f t="shared" si="0"/>
        <v>35.549999999999997</v>
      </c>
      <c r="N27">
        <v>20</v>
      </c>
      <c r="O27">
        <f t="shared" si="1"/>
        <v>1175</v>
      </c>
      <c r="P27">
        <v>158</v>
      </c>
      <c r="Q27">
        <v>315</v>
      </c>
      <c r="R27" s="4">
        <v>3.722</v>
      </c>
      <c r="S27" s="2">
        <v>0.94099999999999995</v>
      </c>
      <c r="T27" s="2">
        <v>0.95199999999999996</v>
      </c>
      <c r="U27" s="2">
        <v>0.95199999999999996</v>
      </c>
      <c r="V27" s="2">
        <v>0.95199999999999996</v>
      </c>
      <c r="W27" s="2">
        <v>0.95199999999999996</v>
      </c>
      <c r="X27" s="2">
        <v>0.95199999999999996</v>
      </c>
      <c r="Y27">
        <f t="shared" si="2"/>
        <v>4373</v>
      </c>
      <c r="Z27">
        <f t="shared" si="3"/>
        <v>3498</v>
      </c>
      <c r="AA27">
        <f t="shared" si="4"/>
        <v>3122</v>
      </c>
      <c r="AB27">
        <f t="shared" si="5"/>
        <v>2082</v>
      </c>
      <c r="AC27">
        <f t="shared" si="6"/>
        <v>2706</v>
      </c>
      <c r="AD27">
        <f t="shared" si="7"/>
        <v>1665</v>
      </c>
      <c r="AE27">
        <f t="shared" si="8"/>
        <v>1873</v>
      </c>
      <c r="AF27">
        <v>0.85</v>
      </c>
      <c r="AG27">
        <v>0.75</v>
      </c>
      <c r="AH27">
        <v>0.5</v>
      </c>
      <c r="AI27">
        <v>0.65</v>
      </c>
      <c r="AJ27">
        <v>0.4</v>
      </c>
      <c r="AK27">
        <v>0.45</v>
      </c>
      <c r="AL27" t="s">
        <v>101</v>
      </c>
    </row>
    <row r="28" spans="1:38" x14ac:dyDescent="0.45">
      <c r="A28" t="s">
        <v>36</v>
      </c>
      <c r="B28" t="s">
        <v>37</v>
      </c>
      <c r="C28" t="s">
        <v>114</v>
      </c>
      <c r="D28" t="s">
        <v>115</v>
      </c>
      <c r="E28" t="s">
        <v>38</v>
      </c>
      <c r="F28" t="s">
        <v>116</v>
      </c>
      <c r="G28" t="s">
        <v>117</v>
      </c>
      <c r="H28" t="s">
        <v>41</v>
      </c>
      <c r="I28">
        <v>32.5</v>
      </c>
      <c r="J28">
        <v>30.46</v>
      </c>
      <c r="K28">
        <f>IFERROR(VLOOKUP(C28,[1]智慧家庭產品價格表.含稅!C:S,17,FALSE),0)</f>
        <v>1</v>
      </c>
      <c r="L28">
        <v>13</v>
      </c>
      <c r="M28">
        <f t="shared" si="0"/>
        <v>35.549999999999997</v>
      </c>
      <c r="N28">
        <v>20</v>
      </c>
      <c r="O28">
        <f t="shared" si="1"/>
        <v>1175</v>
      </c>
      <c r="P28">
        <v>158</v>
      </c>
      <c r="Q28">
        <v>315</v>
      </c>
      <c r="R28" s="4">
        <v>3.7050000000000001</v>
      </c>
      <c r="S28" s="2">
        <v>0.94099999999999995</v>
      </c>
      <c r="T28" s="2">
        <v>0.95299999999999996</v>
      </c>
      <c r="U28" s="2">
        <v>0.95199999999999996</v>
      </c>
      <c r="V28" s="2">
        <v>0.95199999999999996</v>
      </c>
      <c r="W28" s="2">
        <v>0.95199999999999996</v>
      </c>
      <c r="X28" s="2">
        <v>0.95199999999999996</v>
      </c>
      <c r="Y28">
        <f t="shared" si="2"/>
        <v>4353</v>
      </c>
      <c r="Z28">
        <f t="shared" si="3"/>
        <v>3482</v>
      </c>
      <c r="AA28">
        <f t="shared" si="4"/>
        <v>3111</v>
      </c>
      <c r="AB28">
        <f t="shared" si="5"/>
        <v>2072</v>
      </c>
      <c r="AC28">
        <f t="shared" si="6"/>
        <v>2694</v>
      </c>
      <c r="AD28">
        <f t="shared" si="7"/>
        <v>1658</v>
      </c>
      <c r="AE28">
        <f t="shared" si="8"/>
        <v>1865</v>
      </c>
      <c r="AF28">
        <v>0.85</v>
      </c>
      <c r="AG28">
        <v>0.75</v>
      </c>
      <c r="AH28">
        <v>0.5</v>
      </c>
      <c r="AI28">
        <v>0.65</v>
      </c>
      <c r="AJ28">
        <v>0.4</v>
      </c>
      <c r="AK28">
        <v>0.45</v>
      </c>
      <c r="AL28" t="s">
        <v>101</v>
      </c>
    </row>
    <row r="29" spans="1:38" x14ac:dyDescent="0.45">
      <c r="A29" t="s">
        <v>36</v>
      </c>
      <c r="B29" t="s">
        <v>37</v>
      </c>
      <c r="C29" t="s">
        <v>118</v>
      </c>
      <c r="D29" t="s">
        <v>119</v>
      </c>
      <c r="E29" t="s">
        <v>38</v>
      </c>
      <c r="F29" t="s">
        <v>120</v>
      </c>
      <c r="G29" t="s">
        <v>121</v>
      </c>
      <c r="H29" t="s">
        <v>41</v>
      </c>
      <c r="I29">
        <v>32.5</v>
      </c>
      <c r="J29">
        <v>30.46</v>
      </c>
      <c r="K29">
        <f>IFERROR(VLOOKUP(C29,[1]智慧家庭產品價格表.含稅!C:S,17,FALSE),0)</f>
        <v>1</v>
      </c>
      <c r="L29">
        <v>13</v>
      </c>
      <c r="M29">
        <f t="shared" si="0"/>
        <v>35.549999999999997</v>
      </c>
      <c r="N29">
        <v>20</v>
      </c>
      <c r="O29">
        <f t="shared" si="1"/>
        <v>1175</v>
      </c>
      <c r="P29">
        <v>158</v>
      </c>
      <c r="Q29">
        <v>315</v>
      </c>
      <c r="R29" s="4">
        <v>3.5659999999999998</v>
      </c>
      <c r="S29" s="2">
        <v>0.94099999999999995</v>
      </c>
      <c r="T29" s="2">
        <v>0.95199999999999996</v>
      </c>
      <c r="U29" s="2">
        <v>0.95199999999999996</v>
      </c>
      <c r="V29" s="2">
        <v>0.95199999999999996</v>
      </c>
      <c r="W29" s="2">
        <v>0.95199999999999996</v>
      </c>
      <c r="X29" s="2">
        <v>0.95199999999999996</v>
      </c>
      <c r="Y29">
        <f t="shared" si="2"/>
        <v>4190</v>
      </c>
      <c r="Z29">
        <f t="shared" si="3"/>
        <v>3351</v>
      </c>
      <c r="AA29">
        <f t="shared" si="4"/>
        <v>2992</v>
      </c>
      <c r="AB29">
        <f t="shared" si="5"/>
        <v>1994</v>
      </c>
      <c r="AC29">
        <f t="shared" si="6"/>
        <v>2593</v>
      </c>
      <c r="AD29">
        <f t="shared" si="7"/>
        <v>1596</v>
      </c>
      <c r="AE29">
        <f t="shared" si="8"/>
        <v>1795</v>
      </c>
      <c r="AF29">
        <v>0.85</v>
      </c>
      <c r="AG29">
        <v>0.75</v>
      </c>
      <c r="AH29">
        <v>0.5</v>
      </c>
      <c r="AI29">
        <v>0.65</v>
      </c>
      <c r="AJ29">
        <v>0.4</v>
      </c>
      <c r="AK29">
        <v>0.45</v>
      </c>
      <c r="AL29" t="s">
        <v>101</v>
      </c>
    </row>
    <row r="30" spans="1:38" x14ac:dyDescent="0.45">
      <c r="A30" t="s">
        <v>36</v>
      </c>
      <c r="B30" t="s">
        <v>37</v>
      </c>
      <c r="C30" t="s">
        <v>122</v>
      </c>
      <c r="D30" t="s">
        <v>123</v>
      </c>
      <c r="E30" t="s">
        <v>38</v>
      </c>
      <c r="F30" t="s">
        <v>124</v>
      </c>
      <c r="G30" t="s">
        <v>125</v>
      </c>
      <c r="H30" t="s">
        <v>41</v>
      </c>
      <c r="I30">
        <v>32.5</v>
      </c>
      <c r="J30">
        <v>30.46</v>
      </c>
      <c r="K30">
        <f>IFERROR(VLOOKUP(C30,[1]智慧家庭產品價格表.含稅!C:S,17,FALSE),0)</f>
        <v>1</v>
      </c>
      <c r="L30">
        <v>13</v>
      </c>
      <c r="M30">
        <f t="shared" si="0"/>
        <v>35.549999999999997</v>
      </c>
      <c r="N30">
        <v>20</v>
      </c>
      <c r="O30">
        <f t="shared" si="1"/>
        <v>1175</v>
      </c>
      <c r="P30">
        <v>158</v>
      </c>
      <c r="Q30">
        <v>315</v>
      </c>
      <c r="R30" s="4">
        <v>3.702</v>
      </c>
      <c r="S30" s="2">
        <v>0.94099999999999995</v>
      </c>
      <c r="T30" s="2">
        <v>0.95199999999999996</v>
      </c>
      <c r="U30" s="2">
        <v>0.95199999999999996</v>
      </c>
      <c r="V30" s="2">
        <v>0.95199999999999996</v>
      </c>
      <c r="W30" s="2">
        <v>0.95199999999999996</v>
      </c>
      <c r="X30" s="2">
        <v>0.95199999999999996</v>
      </c>
      <c r="Y30">
        <f t="shared" si="2"/>
        <v>4350</v>
      </c>
      <c r="Z30">
        <f t="shared" si="3"/>
        <v>3479</v>
      </c>
      <c r="AA30">
        <f t="shared" si="4"/>
        <v>3106</v>
      </c>
      <c r="AB30">
        <f t="shared" si="5"/>
        <v>2071</v>
      </c>
      <c r="AC30">
        <f t="shared" si="6"/>
        <v>2692</v>
      </c>
      <c r="AD30">
        <f t="shared" si="7"/>
        <v>1656</v>
      </c>
      <c r="AE30">
        <f t="shared" si="8"/>
        <v>1864</v>
      </c>
      <c r="AF30">
        <v>0.85</v>
      </c>
      <c r="AG30">
        <v>0.75</v>
      </c>
      <c r="AH30">
        <v>0.5</v>
      </c>
      <c r="AI30">
        <v>0.65</v>
      </c>
      <c r="AJ30">
        <v>0.4</v>
      </c>
      <c r="AK30">
        <v>0.45</v>
      </c>
      <c r="AL30" t="s">
        <v>126</v>
      </c>
    </row>
    <row r="31" spans="1:38" x14ac:dyDescent="0.45">
      <c r="A31" t="s">
        <v>36</v>
      </c>
      <c r="B31" t="s">
        <v>37</v>
      </c>
      <c r="C31" t="s">
        <v>127</v>
      </c>
      <c r="D31" t="s">
        <v>128</v>
      </c>
      <c r="E31" t="s">
        <v>38</v>
      </c>
      <c r="F31" t="s">
        <v>129</v>
      </c>
      <c r="G31" t="s">
        <v>130</v>
      </c>
      <c r="H31" t="s">
        <v>41</v>
      </c>
      <c r="I31">
        <v>32.5</v>
      </c>
      <c r="J31">
        <v>30.46</v>
      </c>
      <c r="K31">
        <f>IFERROR(VLOOKUP(C31,[1]智慧家庭產品價格表.含稅!C:S,17,FALSE),0)</f>
        <v>1</v>
      </c>
      <c r="L31">
        <v>13</v>
      </c>
      <c r="M31">
        <f t="shared" si="0"/>
        <v>35.549999999999997</v>
      </c>
      <c r="N31">
        <v>20</v>
      </c>
      <c r="O31">
        <f t="shared" si="1"/>
        <v>1175</v>
      </c>
      <c r="P31">
        <v>158</v>
      </c>
      <c r="Q31">
        <v>315</v>
      </c>
      <c r="R31" s="4">
        <v>3.702</v>
      </c>
      <c r="S31" s="2">
        <v>0.94099999999999995</v>
      </c>
      <c r="T31" s="2">
        <v>0.95199999999999996</v>
      </c>
      <c r="U31" s="2">
        <v>0.95199999999999996</v>
      </c>
      <c r="V31" s="2">
        <v>0.95199999999999996</v>
      </c>
      <c r="W31" s="2">
        <v>0.95199999999999996</v>
      </c>
      <c r="X31" s="2">
        <v>0.95199999999999996</v>
      </c>
      <c r="Y31">
        <f t="shared" si="2"/>
        <v>4350</v>
      </c>
      <c r="Z31">
        <f t="shared" si="3"/>
        <v>3479</v>
      </c>
      <c r="AA31">
        <f t="shared" si="4"/>
        <v>3106</v>
      </c>
      <c r="AB31">
        <f t="shared" si="5"/>
        <v>2071</v>
      </c>
      <c r="AC31">
        <f t="shared" si="6"/>
        <v>2692</v>
      </c>
      <c r="AD31">
        <f t="shared" si="7"/>
        <v>1656</v>
      </c>
      <c r="AE31">
        <f t="shared" si="8"/>
        <v>1864</v>
      </c>
      <c r="AF31">
        <v>0.85</v>
      </c>
      <c r="AG31">
        <v>0.75</v>
      </c>
      <c r="AH31">
        <v>0.5</v>
      </c>
      <c r="AI31">
        <v>0.65</v>
      </c>
      <c r="AJ31">
        <v>0.4</v>
      </c>
      <c r="AK31">
        <v>0.45</v>
      </c>
      <c r="AL31" t="s">
        <v>126</v>
      </c>
    </row>
    <row r="32" spans="1:38" x14ac:dyDescent="0.45">
      <c r="A32" t="s">
        <v>36</v>
      </c>
      <c r="B32" t="s">
        <v>37</v>
      </c>
      <c r="C32" t="s">
        <v>131</v>
      </c>
      <c r="D32" t="s">
        <v>132</v>
      </c>
      <c r="E32" t="s">
        <v>38</v>
      </c>
      <c r="F32" t="s">
        <v>133</v>
      </c>
      <c r="G32" t="s">
        <v>134</v>
      </c>
      <c r="H32" t="s">
        <v>41</v>
      </c>
      <c r="I32">
        <v>32.5</v>
      </c>
      <c r="J32">
        <v>30.46</v>
      </c>
      <c r="K32">
        <f>IFERROR(VLOOKUP(C32,[1]智慧家庭產品價格表.含稅!C:S,17,FALSE),0)</f>
        <v>1</v>
      </c>
      <c r="L32">
        <v>13</v>
      </c>
      <c r="M32">
        <f t="shared" si="0"/>
        <v>35.549999999999997</v>
      </c>
      <c r="N32">
        <v>20</v>
      </c>
      <c r="O32">
        <f t="shared" si="1"/>
        <v>1175</v>
      </c>
      <c r="P32">
        <v>158</v>
      </c>
      <c r="Q32">
        <v>315</v>
      </c>
      <c r="R32" s="4">
        <v>3.702</v>
      </c>
      <c r="S32" s="2">
        <v>0.94099999999999995</v>
      </c>
      <c r="T32" s="2">
        <v>0.95199999999999996</v>
      </c>
      <c r="U32" s="2">
        <v>0.95199999999999996</v>
      </c>
      <c r="V32" s="2">
        <v>0.95199999999999996</v>
      </c>
      <c r="W32" s="2">
        <v>0.95199999999999996</v>
      </c>
      <c r="X32" s="2">
        <v>0.95199999999999996</v>
      </c>
      <c r="Y32">
        <f t="shared" si="2"/>
        <v>4350</v>
      </c>
      <c r="Z32">
        <f t="shared" si="3"/>
        <v>3479</v>
      </c>
      <c r="AA32">
        <f t="shared" si="4"/>
        <v>3106</v>
      </c>
      <c r="AB32">
        <f t="shared" si="5"/>
        <v>2071</v>
      </c>
      <c r="AC32">
        <f t="shared" si="6"/>
        <v>2692</v>
      </c>
      <c r="AD32">
        <f t="shared" si="7"/>
        <v>1656</v>
      </c>
      <c r="AE32">
        <f t="shared" si="8"/>
        <v>1864</v>
      </c>
      <c r="AF32">
        <v>0.85</v>
      </c>
      <c r="AG32">
        <v>0.75</v>
      </c>
      <c r="AH32">
        <v>0.5</v>
      </c>
      <c r="AI32">
        <v>0.65</v>
      </c>
      <c r="AJ32">
        <v>0.4</v>
      </c>
      <c r="AK32">
        <v>0.45</v>
      </c>
      <c r="AL32" t="s">
        <v>126</v>
      </c>
    </row>
    <row r="33" spans="1:38" x14ac:dyDescent="0.45">
      <c r="A33" t="s">
        <v>36</v>
      </c>
      <c r="B33" t="s">
        <v>37</v>
      </c>
      <c r="C33" t="s">
        <v>135</v>
      </c>
      <c r="D33" t="s">
        <v>136</v>
      </c>
      <c r="E33" t="s">
        <v>38</v>
      </c>
      <c r="F33" t="s">
        <v>137</v>
      </c>
      <c r="G33" t="s">
        <v>138</v>
      </c>
      <c r="H33" t="s">
        <v>41</v>
      </c>
      <c r="I33">
        <v>32.5</v>
      </c>
      <c r="J33">
        <v>38.92</v>
      </c>
      <c r="K33">
        <f>IFERROR(VLOOKUP(C33,[1]智慧家庭產品價格表.含稅!C:S,17,FALSE),0)</f>
        <v>1</v>
      </c>
      <c r="L33">
        <v>13</v>
      </c>
      <c r="M33">
        <f t="shared" si="0"/>
        <v>45.11</v>
      </c>
      <c r="N33">
        <v>20</v>
      </c>
      <c r="O33">
        <f t="shared" si="1"/>
        <v>1486</v>
      </c>
      <c r="P33">
        <v>158</v>
      </c>
      <c r="Q33">
        <v>315</v>
      </c>
      <c r="R33" s="4">
        <v>3.68</v>
      </c>
      <c r="S33" s="2">
        <v>0.94099999999999995</v>
      </c>
      <c r="T33" s="2">
        <v>0.95199999999999996</v>
      </c>
      <c r="U33" s="2">
        <v>0.95199999999999996</v>
      </c>
      <c r="V33" s="2">
        <v>0.95199999999999996</v>
      </c>
      <c r="W33" s="2">
        <v>0.95199999999999996</v>
      </c>
      <c r="X33" s="2">
        <v>0.95199999999999996</v>
      </c>
      <c r="Y33">
        <f t="shared" si="2"/>
        <v>5468</v>
      </c>
      <c r="Z33">
        <f t="shared" si="3"/>
        <v>4374</v>
      </c>
      <c r="AA33">
        <f t="shared" si="4"/>
        <v>3904</v>
      </c>
      <c r="AB33">
        <f t="shared" si="5"/>
        <v>2603</v>
      </c>
      <c r="AC33">
        <f t="shared" si="6"/>
        <v>3384</v>
      </c>
      <c r="AD33">
        <f t="shared" si="7"/>
        <v>2082</v>
      </c>
      <c r="AE33">
        <f t="shared" si="8"/>
        <v>2342</v>
      </c>
      <c r="AF33">
        <v>0.85</v>
      </c>
      <c r="AG33">
        <v>0.75</v>
      </c>
      <c r="AH33">
        <v>0.5</v>
      </c>
      <c r="AI33">
        <v>0.65</v>
      </c>
      <c r="AJ33">
        <v>0.4</v>
      </c>
      <c r="AK33">
        <v>0.45</v>
      </c>
      <c r="AL33" t="s">
        <v>139</v>
      </c>
    </row>
    <row r="34" spans="1:38" x14ac:dyDescent="0.45">
      <c r="A34" t="s">
        <v>36</v>
      </c>
      <c r="B34" t="s">
        <v>37</v>
      </c>
      <c r="C34" t="s">
        <v>140</v>
      </c>
      <c r="D34" t="s">
        <v>141</v>
      </c>
      <c r="E34" t="s">
        <v>38</v>
      </c>
      <c r="F34" t="s">
        <v>142</v>
      </c>
      <c r="G34" t="s">
        <v>143</v>
      </c>
      <c r="H34" t="s">
        <v>41</v>
      </c>
      <c r="I34">
        <v>32.5</v>
      </c>
      <c r="J34">
        <v>38.92</v>
      </c>
      <c r="K34">
        <f>IFERROR(VLOOKUP(C34,[1]智慧家庭產品價格表.含稅!C:S,17,FALSE),0)</f>
        <v>1</v>
      </c>
      <c r="L34">
        <v>13</v>
      </c>
      <c r="M34">
        <f t="shared" si="0"/>
        <v>45.11</v>
      </c>
      <c r="N34">
        <v>20</v>
      </c>
      <c r="O34">
        <f t="shared" si="1"/>
        <v>1486</v>
      </c>
      <c r="P34">
        <v>158</v>
      </c>
      <c r="Q34">
        <v>315</v>
      </c>
      <c r="R34" s="4">
        <v>3.68</v>
      </c>
      <c r="S34" s="2">
        <v>0.94099999999999995</v>
      </c>
      <c r="T34" s="2">
        <v>0.95199999999999996</v>
      </c>
      <c r="U34" s="2">
        <v>0.95199999999999996</v>
      </c>
      <c r="V34" s="2">
        <v>0.95199999999999996</v>
      </c>
      <c r="W34" s="2">
        <v>0.95199999999999996</v>
      </c>
      <c r="X34" s="2">
        <v>0.95199999999999996</v>
      </c>
      <c r="Y34">
        <f t="shared" si="2"/>
        <v>5468</v>
      </c>
      <c r="Z34">
        <f t="shared" si="3"/>
        <v>4374</v>
      </c>
      <c r="AA34">
        <f t="shared" si="4"/>
        <v>3904</v>
      </c>
      <c r="AB34">
        <f t="shared" si="5"/>
        <v>2603</v>
      </c>
      <c r="AC34">
        <f t="shared" si="6"/>
        <v>3384</v>
      </c>
      <c r="AD34">
        <f t="shared" si="7"/>
        <v>2082</v>
      </c>
      <c r="AE34">
        <f t="shared" si="8"/>
        <v>2342</v>
      </c>
      <c r="AF34">
        <v>0.85</v>
      </c>
      <c r="AG34">
        <v>0.75</v>
      </c>
      <c r="AH34">
        <v>0.5</v>
      </c>
      <c r="AI34">
        <v>0.65</v>
      </c>
      <c r="AJ34">
        <v>0.4</v>
      </c>
      <c r="AK34">
        <v>0.45</v>
      </c>
      <c r="AL34" t="s">
        <v>139</v>
      </c>
    </row>
    <row r="35" spans="1:38" x14ac:dyDescent="0.45">
      <c r="A35" t="s">
        <v>36</v>
      </c>
      <c r="B35" t="s">
        <v>37</v>
      </c>
      <c r="C35" t="s">
        <v>144</v>
      </c>
      <c r="D35" t="s">
        <v>145</v>
      </c>
      <c r="E35" t="s">
        <v>38</v>
      </c>
      <c r="F35" t="s">
        <v>146</v>
      </c>
      <c r="G35" t="s">
        <v>147</v>
      </c>
      <c r="H35" t="s">
        <v>41</v>
      </c>
      <c r="I35">
        <v>32.5</v>
      </c>
      <c r="J35">
        <v>38.92</v>
      </c>
      <c r="K35">
        <f>IFERROR(VLOOKUP(C35,[1]智慧家庭產品價格表.含稅!C:S,17,FALSE),0)</f>
        <v>1</v>
      </c>
      <c r="L35">
        <v>13</v>
      </c>
      <c r="M35">
        <f t="shared" si="0"/>
        <v>45.11</v>
      </c>
      <c r="N35">
        <v>20</v>
      </c>
      <c r="O35">
        <f t="shared" si="1"/>
        <v>1486</v>
      </c>
      <c r="P35">
        <v>158</v>
      </c>
      <c r="Q35">
        <v>315</v>
      </c>
      <c r="R35" s="4">
        <v>3.68</v>
      </c>
      <c r="S35" s="2">
        <v>0.94099999999999995</v>
      </c>
      <c r="T35" s="2">
        <v>0.95199999999999996</v>
      </c>
      <c r="U35" s="2">
        <v>0.95199999999999996</v>
      </c>
      <c r="V35" s="2">
        <v>0.95199999999999996</v>
      </c>
      <c r="W35" s="2">
        <v>0.95199999999999996</v>
      </c>
      <c r="X35" s="2">
        <v>0.95199999999999996</v>
      </c>
      <c r="Y35">
        <f t="shared" si="2"/>
        <v>5468</v>
      </c>
      <c r="Z35">
        <f t="shared" si="3"/>
        <v>4374</v>
      </c>
      <c r="AA35">
        <f t="shared" si="4"/>
        <v>3904</v>
      </c>
      <c r="AB35">
        <f t="shared" si="5"/>
        <v>2603</v>
      </c>
      <c r="AC35">
        <f t="shared" si="6"/>
        <v>3384</v>
      </c>
      <c r="AD35">
        <f t="shared" si="7"/>
        <v>2082</v>
      </c>
      <c r="AE35">
        <f t="shared" si="8"/>
        <v>2342</v>
      </c>
      <c r="AF35">
        <v>0.85</v>
      </c>
      <c r="AG35">
        <v>0.75</v>
      </c>
      <c r="AH35">
        <v>0.5</v>
      </c>
      <c r="AI35">
        <v>0.65</v>
      </c>
      <c r="AJ35">
        <v>0.4</v>
      </c>
      <c r="AK35">
        <v>0.45</v>
      </c>
      <c r="AL35" t="s">
        <v>139</v>
      </c>
    </row>
    <row r="36" spans="1:38" x14ac:dyDescent="0.45">
      <c r="A36" t="s">
        <v>36</v>
      </c>
      <c r="B36" t="s">
        <v>37</v>
      </c>
      <c r="C36" t="s">
        <v>148</v>
      </c>
      <c r="D36" t="s">
        <v>149</v>
      </c>
      <c r="E36" t="s">
        <v>38</v>
      </c>
      <c r="F36" t="s">
        <v>150</v>
      </c>
      <c r="G36" t="s">
        <v>151</v>
      </c>
      <c r="H36" t="s">
        <v>41</v>
      </c>
      <c r="I36">
        <v>32.5</v>
      </c>
      <c r="J36">
        <v>38.92</v>
      </c>
      <c r="K36">
        <f>IFERROR(VLOOKUP(C36,[1]智慧家庭產品價格表.含稅!C:S,17,FALSE),0)</f>
        <v>1</v>
      </c>
      <c r="L36">
        <v>13</v>
      </c>
      <c r="M36">
        <f t="shared" si="0"/>
        <v>45.11</v>
      </c>
      <c r="N36">
        <v>20</v>
      </c>
      <c r="O36">
        <f t="shared" si="1"/>
        <v>1486</v>
      </c>
      <c r="P36">
        <v>158</v>
      </c>
      <c r="Q36">
        <v>315</v>
      </c>
      <c r="R36" s="4">
        <v>3.6829999999999998</v>
      </c>
      <c r="S36" s="2">
        <v>0.94099999999999995</v>
      </c>
      <c r="T36" s="2">
        <v>0.95199999999999996</v>
      </c>
      <c r="U36" s="2">
        <v>0.95199999999999996</v>
      </c>
      <c r="V36" s="2">
        <v>0.95199999999999996</v>
      </c>
      <c r="W36" s="2">
        <v>0.95199999999999996</v>
      </c>
      <c r="X36" s="2">
        <v>0.95199999999999996</v>
      </c>
      <c r="Y36">
        <f t="shared" si="2"/>
        <v>5473</v>
      </c>
      <c r="Z36">
        <f t="shared" si="3"/>
        <v>4378</v>
      </c>
      <c r="AA36">
        <f t="shared" si="4"/>
        <v>3908</v>
      </c>
      <c r="AB36">
        <f t="shared" si="5"/>
        <v>2605</v>
      </c>
      <c r="AC36">
        <f t="shared" si="6"/>
        <v>3387</v>
      </c>
      <c r="AD36">
        <f t="shared" si="7"/>
        <v>2084</v>
      </c>
      <c r="AE36">
        <f t="shared" si="8"/>
        <v>2345</v>
      </c>
      <c r="AF36">
        <v>0.85</v>
      </c>
      <c r="AG36">
        <v>0.75</v>
      </c>
      <c r="AH36">
        <v>0.5</v>
      </c>
      <c r="AI36">
        <v>0.65</v>
      </c>
      <c r="AJ36">
        <v>0.4</v>
      </c>
      <c r="AK36">
        <v>0.45</v>
      </c>
      <c r="AL36" t="s">
        <v>139</v>
      </c>
    </row>
    <row r="37" spans="1:38" x14ac:dyDescent="0.45">
      <c r="A37" t="s">
        <v>36</v>
      </c>
      <c r="B37" t="s">
        <v>37</v>
      </c>
      <c r="C37" t="s">
        <v>152</v>
      </c>
      <c r="D37" t="s">
        <v>153</v>
      </c>
      <c r="E37" t="s">
        <v>38</v>
      </c>
      <c r="F37" t="s">
        <v>154</v>
      </c>
      <c r="G37" t="s">
        <v>155</v>
      </c>
      <c r="H37" t="s">
        <v>41</v>
      </c>
      <c r="I37">
        <v>32.5</v>
      </c>
      <c r="J37">
        <v>38.92</v>
      </c>
      <c r="K37">
        <f>IFERROR(VLOOKUP(C37,[1]智慧家庭產品價格表.含稅!C:S,17,FALSE),0)</f>
        <v>1</v>
      </c>
      <c r="L37">
        <v>13</v>
      </c>
      <c r="M37">
        <f t="shared" si="0"/>
        <v>45.11</v>
      </c>
      <c r="N37">
        <v>20</v>
      </c>
      <c r="O37">
        <f t="shared" si="1"/>
        <v>1486</v>
      </c>
      <c r="P37">
        <v>158</v>
      </c>
      <c r="Q37">
        <v>315</v>
      </c>
      <c r="R37" s="4">
        <v>3.6829999999999998</v>
      </c>
      <c r="S37" s="2">
        <v>0.94099999999999995</v>
      </c>
      <c r="T37" s="2">
        <v>0.95199999999999996</v>
      </c>
      <c r="U37" s="2">
        <v>0.95199999999999996</v>
      </c>
      <c r="V37" s="2">
        <v>0.95199999999999996</v>
      </c>
      <c r="W37" s="2">
        <v>0.95199999999999996</v>
      </c>
      <c r="X37" s="2">
        <v>0.95199999999999996</v>
      </c>
      <c r="Y37">
        <f t="shared" si="2"/>
        <v>5473</v>
      </c>
      <c r="Z37">
        <f t="shared" si="3"/>
        <v>4378</v>
      </c>
      <c r="AA37">
        <f t="shared" si="4"/>
        <v>3908</v>
      </c>
      <c r="AB37">
        <f t="shared" si="5"/>
        <v>2605</v>
      </c>
      <c r="AC37">
        <f t="shared" si="6"/>
        <v>3387</v>
      </c>
      <c r="AD37">
        <f t="shared" si="7"/>
        <v>2084</v>
      </c>
      <c r="AE37">
        <f t="shared" si="8"/>
        <v>2345</v>
      </c>
      <c r="AF37">
        <v>0.85</v>
      </c>
      <c r="AG37">
        <v>0.75</v>
      </c>
      <c r="AH37">
        <v>0.5</v>
      </c>
      <c r="AI37">
        <v>0.65</v>
      </c>
      <c r="AJ37">
        <v>0.4</v>
      </c>
      <c r="AK37">
        <v>0.45</v>
      </c>
      <c r="AL37" t="s">
        <v>139</v>
      </c>
    </row>
    <row r="38" spans="1:38" x14ac:dyDescent="0.45">
      <c r="A38" t="s">
        <v>36</v>
      </c>
      <c r="B38" t="s">
        <v>37</v>
      </c>
      <c r="C38" t="s">
        <v>156</v>
      </c>
      <c r="D38" t="s">
        <v>157</v>
      </c>
      <c r="E38" t="s">
        <v>38</v>
      </c>
      <c r="F38" t="s">
        <v>158</v>
      </c>
      <c r="G38" t="s">
        <v>159</v>
      </c>
      <c r="H38" t="s">
        <v>41</v>
      </c>
      <c r="I38">
        <v>32.5</v>
      </c>
      <c r="J38">
        <v>38.92</v>
      </c>
      <c r="K38">
        <f>IFERROR(VLOOKUP(C38,[1]智慧家庭產品價格表.含稅!C:S,17,FALSE),0)</f>
        <v>1</v>
      </c>
      <c r="L38">
        <v>13</v>
      </c>
      <c r="M38">
        <f t="shared" si="0"/>
        <v>45.11</v>
      </c>
      <c r="N38">
        <v>20</v>
      </c>
      <c r="O38">
        <f t="shared" si="1"/>
        <v>1486</v>
      </c>
      <c r="P38">
        <v>158</v>
      </c>
      <c r="Q38">
        <v>315</v>
      </c>
      <c r="R38" s="4">
        <v>3.68</v>
      </c>
      <c r="S38" s="2">
        <v>0.94099999999999995</v>
      </c>
      <c r="T38" s="2">
        <v>0.95199999999999996</v>
      </c>
      <c r="U38" s="2">
        <v>0.95199999999999996</v>
      </c>
      <c r="V38" s="2">
        <v>0.95199999999999996</v>
      </c>
      <c r="W38" s="2">
        <v>0.95199999999999996</v>
      </c>
      <c r="X38" s="2">
        <v>0.95199999999999996</v>
      </c>
      <c r="Y38">
        <f t="shared" si="2"/>
        <v>5468</v>
      </c>
      <c r="Z38">
        <f t="shared" si="3"/>
        <v>4374</v>
      </c>
      <c r="AA38">
        <f t="shared" si="4"/>
        <v>3904</v>
      </c>
      <c r="AB38">
        <f t="shared" si="5"/>
        <v>2603</v>
      </c>
      <c r="AC38">
        <f t="shared" si="6"/>
        <v>3384</v>
      </c>
      <c r="AD38">
        <f t="shared" si="7"/>
        <v>2082</v>
      </c>
      <c r="AE38">
        <f t="shared" si="8"/>
        <v>2342</v>
      </c>
      <c r="AF38">
        <v>0.85</v>
      </c>
      <c r="AG38">
        <v>0.75</v>
      </c>
      <c r="AH38">
        <v>0.5</v>
      </c>
      <c r="AI38">
        <v>0.65</v>
      </c>
      <c r="AJ38">
        <v>0.4</v>
      </c>
      <c r="AK38">
        <v>0.45</v>
      </c>
      <c r="AL38" t="s">
        <v>139</v>
      </c>
    </row>
    <row r="39" spans="1:38" x14ac:dyDescent="0.45">
      <c r="A39" t="s">
        <v>36</v>
      </c>
      <c r="B39" t="s">
        <v>37</v>
      </c>
      <c r="C39" t="s">
        <v>160</v>
      </c>
      <c r="D39" t="s">
        <v>161</v>
      </c>
      <c r="E39" t="s">
        <v>38</v>
      </c>
      <c r="F39" t="s">
        <v>162</v>
      </c>
      <c r="G39" t="s">
        <v>163</v>
      </c>
      <c r="H39" t="s">
        <v>41</v>
      </c>
      <c r="I39">
        <v>32.5</v>
      </c>
      <c r="J39">
        <v>38.92</v>
      </c>
      <c r="K39">
        <f>IFERROR(VLOOKUP(C39,[1]智慧家庭產品價格表.含稅!C:S,17,FALSE),0)</f>
        <v>1</v>
      </c>
      <c r="L39">
        <v>13</v>
      </c>
      <c r="M39">
        <f t="shared" si="0"/>
        <v>45.11</v>
      </c>
      <c r="N39">
        <v>20</v>
      </c>
      <c r="O39">
        <f t="shared" si="1"/>
        <v>1486</v>
      </c>
      <c r="P39">
        <v>158</v>
      </c>
      <c r="Q39">
        <v>315</v>
      </c>
      <c r="R39" s="4">
        <v>3.673</v>
      </c>
      <c r="S39" s="2">
        <v>0.94099999999999995</v>
      </c>
      <c r="T39" s="2">
        <v>0.95199999999999996</v>
      </c>
      <c r="U39" s="2">
        <v>0.95199999999999996</v>
      </c>
      <c r="V39" s="2">
        <v>0.95199999999999996</v>
      </c>
      <c r="W39" s="2">
        <v>0.95199999999999996</v>
      </c>
      <c r="X39" s="2">
        <v>0.95199999999999996</v>
      </c>
      <c r="Y39">
        <f t="shared" si="2"/>
        <v>5458</v>
      </c>
      <c r="Z39">
        <f t="shared" si="3"/>
        <v>4366</v>
      </c>
      <c r="AA39">
        <f t="shared" si="4"/>
        <v>3897</v>
      </c>
      <c r="AB39">
        <f t="shared" si="5"/>
        <v>2598</v>
      </c>
      <c r="AC39">
        <f t="shared" si="6"/>
        <v>3377</v>
      </c>
      <c r="AD39">
        <f t="shared" si="7"/>
        <v>2078</v>
      </c>
      <c r="AE39">
        <f t="shared" si="8"/>
        <v>2338</v>
      </c>
      <c r="AF39">
        <v>0.85</v>
      </c>
      <c r="AG39">
        <v>0.75</v>
      </c>
      <c r="AH39">
        <v>0.5</v>
      </c>
      <c r="AI39">
        <v>0.65</v>
      </c>
      <c r="AJ39">
        <v>0.4</v>
      </c>
      <c r="AK39">
        <v>0.45</v>
      </c>
      <c r="AL39" t="s">
        <v>164</v>
      </c>
    </row>
    <row r="40" spans="1:38" x14ac:dyDescent="0.45">
      <c r="A40" t="s">
        <v>36</v>
      </c>
      <c r="B40" t="s">
        <v>37</v>
      </c>
      <c r="C40" t="s">
        <v>165</v>
      </c>
      <c r="D40" t="s">
        <v>166</v>
      </c>
      <c r="E40" t="s">
        <v>38</v>
      </c>
      <c r="F40" t="s">
        <v>167</v>
      </c>
      <c r="G40" t="s">
        <v>168</v>
      </c>
      <c r="H40" t="s">
        <v>41</v>
      </c>
      <c r="I40">
        <v>32.5</v>
      </c>
      <c r="J40">
        <v>38.92</v>
      </c>
      <c r="K40">
        <f>IFERROR(VLOOKUP(C40,[1]智慧家庭產品價格表.含稅!C:S,17,FALSE),0)</f>
        <v>1</v>
      </c>
      <c r="L40">
        <v>13</v>
      </c>
      <c r="M40">
        <f t="shared" si="0"/>
        <v>45.11</v>
      </c>
      <c r="N40">
        <v>20</v>
      </c>
      <c r="O40">
        <f t="shared" si="1"/>
        <v>1486</v>
      </c>
      <c r="P40">
        <v>158</v>
      </c>
      <c r="Q40">
        <v>315</v>
      </c>
      <c r="R40" s="4">
        <v>3.673</v>
      </c>
      <c r="S40" s="2">
        <v>0.94099999999999995</v>
      </c>
      <c r="T40" s="2">
        <v>0.95199999999999996</v>
      </c>
      <c r="U40" s="2">
        <v>0.95199999999999996</v>
      </c>
      <c r="V40" s="2">
        <v>0.95199999999999996</v>
      </c>
      <c r="W40" s="2">
        <v>0.95199999999999996</v>
      </c>
      <c r="X40" s="2">
        <v>0.95199999999999996</v>
      </c>
      <c r="Y40">
        <f t="shared" si="2"/>
        <v>5458</v>
      </c>
      <c r="Z40">
        <f t="shared" si="3"/>
        <v>4366</v>
      </c>
      <c r="AA40">
        <f t="shared" si="4"/>
        <v>3897</v>
      </c>
      <c r="AB40">
        <f t="shared" si="5"/>
        <v>2598</v>
      </c>
      <c r="AC40">
        <f t="shared" si="6"/>
        <v>3377</v>
      </c>
      <c r="AD40">
        <f t="shared" si="7"/>
        <v>2078</v>
      </c>
      <c r="AE40">
        <f t="shared" si="8"/>
        <v>2338</v>
      </c>
      <c r="AF40">
        <v>0.85</v>
      </c>
      <c r="AG40">
        <v>0.75</v>
      </c>
      <c r="AH40">
        <v>0.5</v>
      </c>
      <c r="AI40">
        <v>0.65</v>
      </c>
      <c r="AJ40">
        <v>0.4</v>
      </c>
      <c r="AK40">
        <v>0.45</v>
      </c>
      <c r="AL40" t="s">
        <v>164</v>
      </c>
    </row>
    <row r="41" spans="1:38" x14ac:dyDescent="0.45">
      <c r="A41" t="s">
        <v>36</v>
      </c>
      <c r="B41" t="s">
        <v>37</v>
      </c>
      <c r="C41" t="s">
        <v>169</v>
      </c>
      <c r="D41" t="s">
        <v>170</v>
      </c>
      <c r="E41" t="s">
        <v>38</v>
      </c>
      <c r="F41" t="s">
        <v>171</v>
      </c>
      <c r="G41" t="s">
        <v>172</v>
      </c>
      <c r="H41" t="s">
        <v>41</v>
      </c>
      <c r="I41">
        <v>32.5</v>
      </c>
      <c r="J41">
        <v>38.92</v>
      </c>
      <c r="K41">
        <f>IFERROR(VLOOKUP(C41,[1]智慧家庭產品價格表.含稅!C:S,17,FALSE),0)</f>
        <v>1</v>
      </c>
      <c r="L41">
        <v>13</v>
      </c>
      <c r="M41">
        <f t="shared" si="0"/>
        <v>45.11</v>
      </c>
      <c r="N41">
        <v>20</v>
      </c>
      <c r="O41">
        <f t="shared" si="1"/>
        <v>1486</v>
      </c>
      <c r="P41">
        <v>158</v>
      </c>
      <c r="Q41">
        <v>315</v>
      </c>
      <c r="R41" s="4">
        <v>3.6749999999999998</v>
      </c>
      <c r="S41" s="2">
        <v>0.94099999999999995</v>
      </c>
      <c r="T41" s="2">
        <v>0.95199999999999996</v>
      </c>
      <c r="U41" s="2">
        <v>0.95199999999999996</v>
      </c>
      <c r="V41" s="2">
        <v>0.95199999999999996</v>
      </c>
      <c r="W41" s="2">
        <v>0.95199999999999996</v>
      </c>
      <c r="X41" s="2">
        <v>0.95199999999999996</v>
      </c>
      <c r="Y41">
        <f t="shared" si="2"/>
        <v>5461</v>
      </c>
      <c r="Z41">
        <f t="shared" si="3"/>
        <v>4368</v>
      </c>
      <c r="AA41">
        <f t="shared" si="4"/>
        <v>3899</v>
      </c>
      <c r="AB41">
        <f t="shared" si="5"/>
        <v>2599</v>
      </c>
      <c r="AC41">
        <f t="shared" si="6"/>
        <v>3379</v>
      </c>
      <c r="AD41">
        <f t="shared" si="7"/>
        <v>2080</v>
      </c>
      <c r="AE41">
        <f t="shared" si="8"/>
        <v>2339</v>
      </c>
      <c r="AF41">
        <v>0.85</v>
      </c>
      <c r="AG41">
        <v>0.75</v>
      </c>
      <c r="AH41">
        <v>0.5</v>
      </c>
      <c r="AI41">
        <v>0.65</v>
      </c>
      <c r="AJ41">
        <v>0.4</v>
      </c>
      <c r="AK41">
        <v>0.45</v>
      </c>
      <c r="AL41" t="s">
        <v>164</v>
      </c>
    </row>
    <row r="42" spans="1:38" x14ac:dyDescent="0.45">
      <c r="A42" t="s">
        <v>36</v>
      </c>
      <c r="B42" t="s">
        <v>37</v>
      </c>
      <c r="C42" t="s">
        <v>173</v>
      </c>
      <c r="D42" t="s">
        <v>927</v>
      </c>
      <c r="E42" t="s">
        <v>38</v>
      </c>
      <c r="F42" t="s">
        <v>174</v>
      </c>
      <c r="G42" t="s">
        <v>175</v>
      </c>
      <c r="H42" t="s">
        <v>41</v>
      </c>
      <c r="I42">
        <v>32.5</v>
      </c>
      <c r="J42">
        <v>53</v>
      </c>
      <c r="K42">
        <f>IFERROR(VLOOKUP(C42,[1]智慧家庭產品價格表.含稅!C:S,17,FALSE),0)</f>
        <v>1</v>
      </c>
      <c r="L42">
        <v>13</v>
      </c>
      <c r="M42">
        <f t="shared" si="0"/>
        <v>61.02</v>
      </c>
      <c r="N42">
        <v>0</v>
      </c>
      <c r="O42">
        <f t="shared" si="1"/>
        <v>1983</v>
      </c>
      <c r="P42">
        <v>158</v>
      </c>
      <c r="Q42">
        <v>315</v>
      </c>
      <c r="R42" s="4">
        <v>3.4140000000000001</v>
      </c>
      <c r="S42" s="2">
        <v>0.94099999999999995</v>
      </c>
      <c r="T42" s="2">
        <v>0.95199999999999996</v>
      </c>
      <c r="U42" s="2">
        <v>0.95199999999999996</v>
      </c>
      <c r="V42" s="2">
        <v>0.95199999999999996</v>
      </c>
      <c r="W42" s="2">
        <v>0.95199999999999996</v>
      </c>
      <c r="X42" s="2">
        <v>0.95199999999999996</v>
      </c>
      <c r="Y42">
        <f t="shared" si="2"/>
        <v>6770</v>
      </c>
      <c r="Z42">
        <f t="shared" si="3"/>
        <v>5415</v>
      </c>
      <c r="AA42">
        <f t="shared" si="4"/>
        <v>4834</v>
      </c>
      <c r="AB42">
        <f t="shared" si="5"/>
        <v>3223</v>
      </c>
      <c r="AC42">
        <f t="shared" si="6"/>
        <v>4189</v>
      </c>
      <c r="AD42">
        <f t="shared" si="7"/>
        <v>2578</v>
      </c>
      <c r="AE42">
        <f t="shared" si="8"/>
        <v>2900</v>
      </c>
      <c r="AF42">
        <v>0.85</v>
      </c>
      <c r="AG42">
        <v>0.75</v>
      </c>
      <c r="AH42">
        <v>0.5</v>
      </c>
      <c r="AI42">
        <v>0.65</v>
      </c>
      <c r="AJ42">
        <v>0.4</v>
      </c>
      <c r="AK42">
        <v>0.45</v>
      </c>
    </row>
    <row r="43" spans="1:38" x14ac:dyDescent="0.45">
      <c r="A43" t="s">
        <v>36</v>
      </c>
      <c r="B43" t="s">
        <v>37</v>
      </c>
      <c r="C43" t="s">
        <v>176</v>
      </c>
      <c r="D43" t="s">
        <v>928</v>
      </c>
      <c r="E43" t="s">
        <v>38</v>
      </c>
      <c r="F43" t="s">
        <v>177</v>
      </c>
      <c r="G43" t="s">
        <v>178</v>
      </c>
      <c r="H43" t="s">
        <v>41</v>
      </c>
      <c r="I43">
        <v>32.5</v>
      </c>
      <c r="J43">
        <v>51</v>
      </c>
      <c r="K43">
        <f>IFERROR(VLOOKUP(C43,[1]智慧家庭產品價格表.含稅!C:S,17,FALSE),0)</f>
        <v>1</v>
      </c>
      <c r="L43">
        <v>13</v>
      </c>
      <c r="M43">
        <f t="shared" si="0"/>
        <v>58.76</v>
      </c>
      <c r="N43">
        <v>0</v>
      </c>
      <c r="O43">
        <f t="shared" si="1"/>
        <v>1910</v>
      </c>
      <c r="P43">
        <v>158</v>
      </c>
      <c r="Q43">
        <v>315</v>
      </c>
      <c r="R43" s="4">
        <v>3.3479999999999999</v>
      </c>
      <c r="S43" s="2">
        <v>0.94099999999999995</v>
      </c>
      <c r="T43" s="2">
        <v>0.95199999999999996</v>
      </c>
      <c r="U43" s="2">
        <v>0.95199999999999996</v>
      </c>
      <c r="V43" s="2">
        <v>0.95199999999999996</v>
      </c>
      <c r="W43" s="2">
        <v>0.95199999999999996</v>
      </c>
      <c r="X43" s="2">
        <v>0.95199999999999996</v>
      </c>
      <c r="Y43">
        <f t="shared" si="2"/>
        <v>6395</v>
      </c>
      <c r="Z43">
        <f t="shared" si="3"/>
        <v>5115</v>
      </c>
      <c r="AA43">
        <f t="shared" si="4"/>
        <v>4566</v>
      </c>
      <c r="AB43">
        <f t="shared" si="5"/>
        <v>3044</v>
      </c>
      <c r="AC43">
        <f t="shared" si="6"/>
        <v>3957</v>
      </c>
      <c r="AD43">
        <f t="shared" si="7"/>
        <v>2435</v>
      </c>
      <c r="AE43">
        <f t="shared" si="8"/>
        <v>2740</v>
      </c>
      <c r="AF43">
        <v>0.85</v>
      </c>
      <c r="AG43">
        <v>0.75</v>
      </c>
      <c r="AH43">
        <v>0.5</v>
      </c>
      <c r="AI43">
        <v>0.65</v>
      </c>
      <c r="AJ43">
        <v>0.4</v>
      </c>
      <c r="AK43">
        <v>0.45</v>
      </c>
    </row>
    <row r="44" spans="1:38" x14ac:dyDescent="0.45">
      <c r="A44" t="s">
        <v>36</v>
      </c>
      <c r="B44" t="s">
        <v>37</v>
      </c>
      <c r="C44" t="s">
        <v>179</v>
      </c>
      <c r="D44" s="3" t="s">
        <v>930</v>
      </c>
      <c r="E44" t="s">
        <v>38</v>
      </c>
      <c r="F44" t="s">
        <v>180</v>
      </c>
      <c r="G44" t="s">
        <v>181</v>
      </c>
      <c r="H44" t="s">
        <v>41</v>
      </c>
      <c r="I44">
        <v>32.5</v>
      </c>
      <c r="J44">
        <v>17</v>
      </c>
      <c r="K44">
        <f>IFERROR(VLOOKUP(C44,[1]智慧家庭產品價格表.含稅!C:S,17,FALSE),0)</f>
        <v>1</v>
      </c>
      <c r="L44">
        <v>13</v>
      </c>
      <c r="M44">
        <f t="shared" si="0"/>
        <v>20.34</v>
      </c>
      <c r="N44">
        <v>20</v>
      </c>
      <c r="O44">
        <f t="shared" si="1"/>
        <v>681</v>
      </c>
      <c r="P44">
        <v>158</v>
      </c>
      <c r="Q44">
        <v>315</v>
      </c>
      <c r="R44" s="4">
        <v>3.1720000000000002</v>
      </c>
      <c r="S44" s="2">
        <v>1</v>
      </c>
      <c r="T44" s="2">
        <v>1.0149999999999999</v>
      </c>
      <c r="U44" s="2">
        <v>1.0469999999999999</v>
      </c>
      <c r="V44" s="2">
        <v>1.026</v>
      </c>
      <c r="W44" s="2">
        <v>1.0720000000000001</v>
      </c>
      <c r="X44" s="2">
        <v>1.0569999999999999</v>
      </c>
      <c r="Y44">
        <f t="shared" si="2"/>
        <v>2160</v>
      </c>
      <c r="Z44">
        <f t="shared" si="3"/>
        <v>1836</v>
      </c>
      <c r="AA44">
        <f t="shared" si="4"/>
        <v>1644</v>
      </c>
      <c r="AB44">
        <f t="shared" si="5"/>
        <v>1131</v>
      </c>
      <c r="AC44">
        <f t="shared" si="6"/>
        <v>1441</v>
      </c>
      <c r="AD44">
        <f t="shared" si="7"/>
        <v>926</v>
      </c>
      <c r="AE44">
        <f t="shared" si="8"/>
        <v>1027</v>
      </c>
      <c r="AF44">
        <v>0.85</v>
      </c>
      <c r="AG44">
        <v>0.75</v>
      </c>
      <c r="AH44">
        <v>0.5</v>
      </c>
      <c r="AI44">
        <v>0.65</v>
      </c>
      <c r="AJ44">
        <v>0.4</v>
      </c>
      <c r="AK44">
        <v>0.45</v>
      </c>
      <c r="AL44" t="s">
        <v>182</v>
      </c>
    </row>
    <row r="45" spans="1:38" x14ac:dyDescent="0.45">
      <c r="A45" t="s">
        <v>36</v>
      </c>
      <c r="B45" t="s">
        <v>37</v>
      </c>
      <c r="C45" t="s">
        <v>183</v>
      </c>
      <c r="D45" t="s">
        <v>929</v>
      </c>
      <c r="E45" t="s">
        <v>38</v>
      </c>
      <c r="F45" t="s">
        <v>184</v>
      </c>
      <c r="G45" t="s">
        <v>185</v>
      </c>
      <c r="H45" t="s">
        <v>41</v>
      </c>
      <c r="I45">
        <v>32.5</v>
      </c>
      <c r="J45">
        <v>15</v>
      </c>
      <c r="K45">
        <f>IFERROR(VLOOKUP(C45,[1]智慧家庭產品價格表.含稅!C:S,17,FALSE),0)</f>
        <v>1</v>
      </c>
      <c r="L45">
        <v>13</v>
      </c>
      <c r="M45">
        <f t="shared" si="0"/>
        <v>18.079999999999998</v>
      </c>
      <c r="N45">
        <v>20</v>
      </c>
      <c r="O45">
        <f t="shared" si="1"/>
        <v>608</v>
      </c>
      <c r="P45">
        <v>158</v>
      </c>
      <c r="Q45">
        <v>315</v>
      </c>
      <c r="R45" s="4">
        <v>2.5270000000000001</v>
      </c>
      <c r="S45" s="2">
        <v>0.94099999999999995</v>
      </c>
      <c r="T45" s="2">
        <v>0.95199999999999996</v>
      </c>
      <c r="U45" s="2">
        <v>0.95199999999999996</v>
      </c>
      <c r="V45" s="2">
        <v>0.95199999999999996</v>
      </c>
      <c r="W45" s="2">
        <v>0.95199999999999996</v>
      </c>
      <c r="X45" s="2">
        <v>0.95199999999999996</v>
      </c>
      <c r="Y45">
        <f t="shared" si="2"/>
        <v>1536</v>
      </c>
      <c r="Z45">
        <f t="shared" si="3"/>
        <v>1229</v>
      </c>
      <c r="AA45">
        <f t="shared" si="4"/>
        <v>1097</v>
      </c>
      <c r="AB45">
        <f t="shared" si="5"/>
        <v>731</v>
      </c>
      <c r="AC45">
        <f t="shared" si="6"/>
        <v>950</v>
      </c>
      <c r="AD45">
        <f t="shared" si="7"/>
        <v>585</v>
      </c>
      <c r="AE45">
        <f t="shared" si="8"/>
        <v>658</v>
      </c>
      <c r="AF45">
        <v>0.85</v>
      </c>
      <c r="AG45">
        <v>0.75</v>
      </c>
      <c r="AH45">
        <v>0.5</v>
      </c>
      <c r="AI45">
        <v>0.65</v>
      </c>
      <c r="AJ45">
        <v>0.4</v>
      </c>
      <c r="AK45">
        <v>0.45</v>
      </c>
      <c r="AL45" t="s">
        <v>182</v>
      </c>
    </row>
    <row r="46" spans="1:38" x14ac:dyDescent="0.45">
      <c r="A46" t="s">
        <v>36</v>
      </c>
      <c r="B46" t="s">
        <v>37</v>
      </c>
      <c r="C46" t="s">
        <v>186</v>
      </c>
      <c r="D46" t="s">
        <v>931</v>
      </c>
      <c r="E46" t="s">
        <v>81</v>
      </c>
      <c r="F46" t="s">
        <v>187</v>
      </c>
      <c r="G46" t="s">
        <v>188</v>
      </c>
      <c r="H46" t="s">
        <v>41</v>
      </c>
      <c r="I46">
        <v>32.5</v>
      </c>
      <c r="J46">
        <v>1077</v>
      </c>
      <c r="K46">
        <f>IFERROR(VLOOKUP(C46,[1]智慧家庭產品價格表.含稅!C:S,17,FALSE),0)</f>
        <v>1</v>
      </c>
      <c r="L46">
        <v>13</v>
      </c>
      <c r="M46">
        <f t="shared" si="0"/>
        <v>1218.1400000000001</v>
      </c>
      <c r="N46">
        <v>20</v>
      </c>
      <c r="O46">
        <f t="shared" si="1"/>
        <v>39610</v>
      </c>
      <c r="P46">
        <v>315</v>
      </c>
      <c r="Q46">
        <v>1575</v>
      </c>
      <c r="R46" s="4">
        <v>3.5910000000000002</v>
      </c>
      <c r="S46" s="2">
        <v>0.94099999999999995</v>
      </c>
      <c r="T46" s="2">
        <v>0.95199999999999996</v>
      </c>
      <c r="U46" s="2">
        <v>0.95199999999999996</v>
      </c>
      <c r="V46" s="2">
        <v>0.95199999999999996</v>
      </c>
      <c r="W46" s="2">
        <v>0.95199999999999996</v>
      </c>
      <c r="X46" s="2">
        <v>0.95199999999999996</v>
      </c>
      <c r="Y46">
        <f t="shared" si="2"/>
        <v>142240</v>
      </c>
      <c r="Z46">
        <f t="shared" si="3"/>
        <v>113771</v>
      </c>
      <c r="AA46">
        <f t="shared" si="4"/>
        <v>101559</v>
      </c>
      <c r="AB46">
        <f t="shared" si="5"/>
        <v>67706</v>
      </c>
      <c r="AC46">
        <f t="shared" si="6"/>
        <v>88018</v>
      </c>
      <c r="AD46">
        <f t="shared" si="7"/>
        <v>54165</v>
      </c>
      <c r="AE46">
        <f t="shared" si="8"/>
        <v>60936</v>
      </c>
      <c r="AF46">
        <v>0.85</v>
      </c>
      <c r="AG46">
        <v>0.75</v>
      </c>
      <c r="AH46">
        <v>0.5</v>
      </c>
      <c r="AI46">
        <v>0.65</v>
      </c>
      <c r="AJ46">
        <v>0.4</v>
      </c>
      <c r="AK46">
        <v>0.45</v>
      </c>
    </row>
    <row r="47" spans="1:38" x14ac:dyDescent="0.45">
      <c r="A47" t="s">
        <v>36</v>
      </c>
      <c r="B47" t="s">
        <v>37</v>
      </c>
      <c r="C47" t="s">
        <v>189</v>
      </c>
      <c r="D47" t="s">
        <v>932</v>
      </c>
      <c r="E47" t="s">
        <v>38</v>
      </c>
      <c r="F47" t="s">
        <v>190</v>
      </c>
      <c r="G47" t="s">
        <v>191</v>
      </c>
      <c r="H47" t="s">
        <v>41</v>
      </c>
      <c r="I47">
        <v>32.5</v>
      </c>
      <c r="J47">
        <v>37</v>
      </c>
      <c r="K47">
        <f>IFERROR(VLOOKUP(C47,[1]智慧家庭產品價格表.含稅!C:S,17,FALSE),0)</f>
        <v>2</v>
      </c>
      <c r="L47">
        <v>13</v>
      </c>
      <c r="M47">
        <f t="shared" si="0"/>
        <v>44.07</v>
      </c>
      <c r="N47">
        <v>21</v>
      </c>
      <c r="O47">
        <f t="shared" si="1"/>
        <v>1453</v>
      </c>
      <c r="P47">
        <v>315</v>
      </c>
      <c r="Q47">
        <v>315</v>
      </c>
      <c r="R47" s="4">
        <v>2.34</v>
      </c>
      <c r="S47" s="2">
        <v>1.2350000000000001</v>
      </c>
      <c r="T47" s="2">
        <v>1.27</v>
      </c>
      <c r="U47" s="2">
        <v>1.429</v>
      </c>
      <c r="V47" s="2">
        <v>1.319</v>
      </c>
      <c r="W47" s="2">
        <v>1.548</v>
      </c>
      <c r="X47" s="2">
        <v>1.4810000000000001</v>
      </c>
      <c r="Y47">
        <f t="shared" si="2"/>
        <v>3400</v>
      </c>
      <c r="Z47">
        <f t="shared" si="3"/>
        <v>3569</v>
      </c>
      <c r="AA47">
        <f t="shared" si="4"/>
        <v>3239</v>
      </c>
      <c r="AB47">
        <f t="shared" si="5"/>
        <v>2429</v>
      </c>
      <c r="AC47">
        <f t="shared" si="6"/>
        <v>2915</v>
      </c>
      <c r="AD47">
        <f t="shared" si="7"/>
        <v>2105</v>
      </c>
      <c r="AE47">
        <f t="shared" si="8"/>
        <v>2266</v>
      </c>
      <c r="AF47">
        <v>0.85</v>
      </c>
      <c r="AG47">
        <v>0.75</v>
      </c>
      <c r="AH47">
        <v>0.5</v>
      </c>
      <c r="AI47">
        <v>0.65</v>
      </c>
      <c r="AJ47">
        <v>0.4</v>
      </c>
      <c r="AK47">
        <v>0.45</v>
      </c>
    </row>
    <row r="48" spans="1:38" x14ac:dyDescent="0.45">
      <c r="A48" t="s">
        <v>36</v>
      </c>
      <c r="B48" t="s">
        <v>37</v>
      </c>
      <c r="C48" t="s">
        <v>192</v>
      </c>
      <c r="D48" t="s">
        <v>933</v>
      </c>
      <c r="E48" t="s">
        <v>81</v>
      </c>
      <c r="F48" t="s">
        <v>193</v>
      </c>
      <c r="G48" t="s">
        <v>194</v>
      </c>
      <c r="H48" t="s">
        <v>41</v>
      </c>
      <c r="I48">
        <v>32.5</v>
      </c>
      <c r="J48">
        <v>110</v>
      </c>
      <c r="K48">
        <f>IFERROR(VLOOKUP(C48,[1]智慧家庭產品價格表.含稅!C:S,17,FALSE),0)</f>
        <v>3</v>
      </c>
      <c r="L48">
        <v>13</v>
      </c>
      <c r="M48">
        <f t="shared" si="0"/>
        <v>127.69</v>
      </c>
      <c r="N48">
        <v>22</v>
      </c>
      <c r="O48">
        <f t="shared" si="1"/>
        <v>4172</v>
      </c>
      <c r="P48">
        <v>158</v>
      </c>
      <c r="Q48">
        <v>315</v>
      </c>
      <c r="R48" s="4">
        <v>0.81499999999999995</v>
      </c>
      <c r="S48" s="2">
        <v>2.4089999999999998</v>
      </c>
      <c r="T48" s="2">
        <v>2.5390000000000001</v>
      </c>
      <c r="U48" s="2">
        <v>3.3330000000000002</v>
      </c>
      <c r="V48" s="2">
        <v>2.7839999999999998</v>
      </c>
      <c r="W48" s="2">
        <v>3.9279999999999999</v>
      </c>
      <c r="X48" s="2">
        <v>3.5939999999999999</v>
      </c>
      <c r="Y48">
        <f t="shared" si="2"/>
        <v>3400</v>
      </c>
      <c r="Z48">
        <f t="shared" si="3"/>
        <v>6962</v>
      </c>
      <c r="AA48">
        <f t="shared" si="4"/>
        <v>6474</v>
      </c>
      <c r="AB48">
        <f t="shared" si="5"/>
        <v>5666</v>
      </c>
      <c r="AC48">
        <f t="shared" si="6"/>
        <v>6153</v>
      </c>
      <c r="AD48">
        <f t="shared" si="7"/>
        <v>5342</v>
      </c>
      <c r="AE48">
        <f t="shared" si="8"/>
        <v>5499</v>
      </c>
      <c r="AF48">
        <v>0.85</v>
      </c>
      <c r="AG48">
        <v>0.75</v>
      </c>
      <c r="AH48">
        <v>0.5</v>
      </c>
      <c r="AI48">
        <v>0.65</v>
      </c>
      <c r="AJ48">
        <v>0.4</v>
      </c>
      <c r="AK48">
        <v>0.45</v>
      </c>
    </row>
    <row r="49" spans="1:38" x14ac:dyDescent="0.45">
      <c r="A49" t="s">
        <v>36</v>
      </c>
      <c r="B49" t="s">
        <v>37</v>
      </c>
      <c r="C49" t="s">
        <v>195</v>
      </c>
      <c r="D49" t="s">
        <v>934</v>
      </c>
      <c r="E49" t="s">
        <v>38</v>
      </c>
      <c r="F49" t="s">
        <v>196</v>
      </c>
      <c r="G49" t="s">
        <v>197</v>
      </c>
      <c r="H49" t="s">
        <v>41</v>
      </c>
      <c r="I49">
        <v>32.5</v>
      </c>
      <c r="J49">
        <v>162</v>
      </c>
      <c r="K49">
        <f>IFERROR(VLOOKUP(C49,[1]智慧家庭產品價格表.含稅!C:S,17,FALSE),0)</f>
        <v>1</v>
      </c>
      <c r="L49">
        <v>13</v>
      </c>
      <c r="M49">
        <f t="shared" si="0"/>
        <v>184.19</v>
      </c>
      <c r="N49">
        <v>20</v>
      </c>
      <c r="O49">
        <f t="shared" si="1"/>
        <v>6006</v>
      </c>
      <c r="P49">
        <v>315</v>
      </c>
      <c r="Q49">
        <v>1575</v>
      </c>
      <c r="R49" s="4">
        <v>3.629</v>
      </c>
      <c r="S49" s="2">
        <v>0.94099999999999995</v>
      </c>
      <c r="T49" s="2">
        <v>0.95199999999999996</v>
      </c>
      <c r="U49" s="2">
        <v>0.95199999999999996</v>
      </c>
      <c r="V49" s="2">
        <v>0.95199999999999996</v>
      </c>
      <c r="W49" s="2">
        <v>0.95199999999999996</v>
      </c>
      <c r="X49" s="2">
        <v>0.95199999999999996</v>
      </c>
      <c r="Y49">
        <f t="shared" si="2"/>
        <v>21796</v>
      </c>
      <c r="Z49">
        <f t="shared" si="3"/>
        <v>17434</v>
      </c>
      <c r="AA49">
        <f t="shared" si="4"/>
        <v>15562</v>
      </c>
      <c r="AB49">
        <f t="shared" si="5"/>
        <v>10375</v>
      </c>
      <c r="AC49">
        <f t="shared" si="6"/>
        <v>13487</v>
      </c>
      <c r="AD49">
        <f t="shared" si="7"/>
        <v>8300</v>
      </c>
      <c r="AE49">
        <f t="shared" si="8"/>
        <v>9337</v>
      </c>
      <c r="AF49">
        <v>0.85</v>
      </c>
      <c r="AG49">
        <v>0.75</v>
      </c>
      <c r="AH49">
        <v>0.5</v>
      </c>
      <c r="AI49">
        <v>0.65</v>
      </c>
      <c r="AJ49">
        <v>0.4</v>
      </c>
      <c r="AK49">
        <v>0.45</v>
      </c>
    </row>
    <row r="50" spans="1:38" ht="30" x14ac:dyDescent="0.45">
      <c r="A50" t="s">
        <v>36</v>
      </c>
      <c r="B50" t="s">
        <v>37</v>
      </c>
      <c r="C50" t="s">
        <v>198</v>
      </c>
      <c r="D50" s="3" t="s">
        <v>935</v>
      </c>
      <c r="E50" t="s">
        <v>199</v>
      </c>
      <c r="G50" t="s">
        <v>200</v>
      </c>
      <c r="H50" t="s">
        <v>41</v>
      </c>
      <c r="I50">
        <v>32.5</v>
      </c>
      <c r="J50">
        <v>32.76</v>
      </c>
      <c r="K50">
        <f>IFERROR(VLOOKUP(C50,[1]智慧家庭產品價格表.含稅!C:S,17,FALSE),0)</f>
        <v>2</v>
      </c>
      <c r="L50">
        <v>13</v>
      </c>
      <c r="M50">
        <f t="shared" si="0"/>
        <v>39.28</v>
      </c>
      <c r="N50">
        <v>0</v>
      </c>
      <c r="O50">
        <f t="shared" si="1"/>
        <v>1277</v>
      </c>
      <c r="P50">
        <v>52</v>
      </c>
      <c r="Q50">
        <v>315</v>
      </c>
      <c r="R50" s="4">
        <v>1.4490000000000001</v>
      </c>
      <c r="S50" s="2">
        <v>1.1759999999999999</v>
      </c>
      <c r="T50" s="2">
        <v>1.079</v>
      </c>
      <c r="U50" s="2">
        <v>1.619</v>
      </c>
      <c r="V50" s="2">
        <v>1.2450000000000001</v>
      </c>
      <c r="W50" s="2">
        <v>2.024</v>
      </c>
      <c r="X50" s="2">
        <v>1.7989999999999999</v>
      </c>
      <c r="Y50">
        <f t="shared" si="2"/>
        <v>1850</v>
      </c>
      <c r="Z50">
        <f t="shared" si="3"/>
        <v>1849</v>
      </c>
      <c r="AA50">
        <f t="shared" si="4"/>
        <v>1497</v>
      </c>
      <c r="AB50">
        <f t="shared" si="5"/>
        <v>1498</v>
      </c>
      <c r="AC50">
        <f t="shared" si="6"/>
        <v>1497</v>
      </c>
      <c r="AD50">
        <f t="shared" si="7"/>
        <v>1498</v>
      </c>
      <c r="AE50">
        <f t="shared" si="8"/>
        <v>1498</v>
      </c>
      <c r="AF50">
        <v>0.85</v>
      </c>
      <c r="AG50">
        <v>0.75</v>
      </c>
      <c r="AH50">
        <v>0.5</v>
      </c>
      <c r="AI50">
        <v>0.65</v>
      </c>
      <c r="AJ50">
        <v>0.4</v>
      </c>
      <c r="AK50">
        <v>0.45</v>
      </c>
    </row>
    <row r="51" spans="1:38" x14ac:dyDescent="0.45">
      <c r="A51" t="s">
        <v>36</v>
      </c>
      <c r="B51" t="s">
        <v>37</v>
      </c>
      <c r="C51" t="s">
        <v>201</v>
      </c>
      <c r="D51" t="s">
        <v>936</v>
      </c>
      <c r="E51" t="s">
        <v>38</v>
      </c>
      <c r="F51" t="s">
        <v>202</v>
      </c>
      <c r="H51" t="s">
        <v>41</v>
      </c>
      <c r="I51">
        <v>32.5</v>
      </c>
      <c r="J51">
        <v>2</v>
      </c>
      <c r="K51">
        <f>IFERROR(VLOOKUP(C51,[1]智慧家庭產品價格表.含稅!C:S,17,FALSE),0)</f>
        <v>1</v>
      </c>
      <c r="L51">
        <v>13</v>
      </c>
      <c r="M51">
        <f t="shared" si="0"/>
        <v>3.39</v>
      </c>
      <c r="N51">
        <v>20</v>
      </c>
      <c r="O51">
        <f t="shared" si="1"/>
        <v>130</v>
      </c>
      <c r="P51">
        <v>52</v>
      </c>
      <c r="Q51">
        <v>315</v>
      </c>
      <c r="R51" s="4">
        <v>1.0389999999999999</v>
      </c>
      <c r="S51" s="2">
        <v>1.1759999999999999</v>
      </c>
      <c r="T51" s="2">
        <v>1.0760000000000001</v>
      </c>
      <c r="U51" s="2">
        <v>1.6140000000000001</v>
      </c>
      <c r="V51" s="2">
        <v>1.242</v>
      </c>
      <c r="W51" s="2">
        <v>2.0169999999999999</v>
      </c>
      <c r="X51" s="2">
        <v>1.7929999999999999</v>
      </c>
      <c r="Y51">
        <f t="shared" si="2"/>
        <v>135</v>
      </c>
      <c r="Z51">
        <f t="shared" si="3"/>
        <v>135</v>
      </c>
      <c r="AA51">
        <f t="shared" si="4"/>
        <v>109</v>
      </c>
      <c r="AB51">
        <f t="shared" si="5"/>
        <v>109</v>
      </c>
      <c r="AC51">
        <f t="shared" si="6"/>
        <v>109</v>
      </c>
      <c r="AD51">
        <f t="shared" si="7"/>
        <v>109</v>
      </c>
      <c r="AE51">
        <f t="shared" si="8"/>
        <v>109</v>
      </c>
      <c r="AF51">
        <v>0.85</v>
      </c>
      <c r="AG51">
        <v>0.75</v>
      </c>
      <c r="AH51">
        <v>0.5</v>
      </c>
      <c r="AI51">
        <v>0.65</v>
      </c>
      <c r="AJ51">
        <v>0.4</v>
      </c>
      <c r="AK51">
        <v>0.45</v>
      </c>
    </row>
    <row r="52" spans="1:38" x14ac:dyDescent="0.45">
      <c r="A52" t="s">
        <v>36</v>
      </c>
      <c r="B52" t="s">
        <v>37</v>
      </c>
      <c r="C52" t="s">
        <v>203</v>
      </c>
      <c r="D52" s="3" t="s">
        <v>903</v>
      </c>
      <c r="E52" t="s">
        <v>38</v>
      </c>
      <c r="F52" t="s">
        <v>204</v>
      </c>
      <c r="G52" t="s">
        <v>205</v>
      </c>
      <c r="H52" t="s">
        <v>41</v>
      </c>
      <c r="I52">
        <v>32.5</v>
      </c>
      <c r="J52">
        <v>30</v>
      </c>
      <c r="K52">
        <f>IFERROR(VLOOKUP(C52,[1]智慧家庭產品價格表.含稅!C:S,17,FALSE),0)</f>
        <v>3</v>
      </c>
      <c r="L52">
        <v>13</v>
      </c>
      <c r="M52">
        <f t="shared" si="0"/>
        <v>37.29</v>
      </c>
      <c r="N52">
        <v>20</v>
      </c>
      <c r="O52">
        <f t="shared" si="1"/>
        <v>1232</v>
      </c>
      <c r="P52">
        <v>210</v>
      </c>
      <c r="Q52">
        <v>315</v>
      </c>
      <c r="R52" s="4">
        <v>2.59</v>
      </c>
      <c r="S52" s="2">
        <v>0.94099999999999995</v>
      </c>
      <c r="T52" s="2">
        <v>0.95199999999999996</v>
      </c>
      <c r="U52" s="2">
        <v>0.95199999999999996</v>
      </c>
      <c r="V52" s="2">
        <v>0.95199999999999996</v>
      </c>
      <c r="W52" s="2">
        <v>0.95199999999999996</v>
      </c>
      <c r="X52" s="2">
        <v>0.95199999999999996</v>
      </c>
      <c r="Y52">
        <f t="shared" si="2"/>
        <v>3191</v>
      </c>
      <c r="Z52">
        <f t="shared" si="3"/>
        <v>2552</v>
      </c>
      <c r="AA52">
        <f t="shared" si="4"/>
        <v>2278</v>
      </c>
      <c r="AB52">
        <f t="shared" si="5"/>
        <v>1519</v>
      </c>
      <c r="AC52">
        <f t="shared" si="6"/>
        <v>1975</v>
      </c>
      <c r="AD52">
        <f t="shared" si="7"/>
        <v>1215</v>
      </c>
      <c r="AE52">
        <f t="shared" si="8"/>
        <v>1367</v>
      </c>
      <c r="AF52">
        <v>0.85</v>
      </c>
      <c r="AG52">
        <v>0.75</v>
      </c>
      <c r="AH52">
        <v>0.5</v>
      </c>
      <c r="AI52">
        <v>0.65</v>
      </c>
      <c r="AJ52">
        <v>0.4</v>
      </c>
      <c r="AK52">
        <v>0.45</v>
      </c>
      <c r="AL52" t="s">
        <v>46</v>
      </c>
    </row>
    <row r="53" spans="1:38" x14ac:dyDescent="0.45">
      <c r="A53" t="s">
        <v>36</v>
      </c>
      <c r="B53" t="s">
        <v>37</v>
      </c>
      <c r="C53" t="s">
        <v>206</v>
      </c>
      <c r="D53" t="s">
        <v>904</v>
      </c>
      <c r="E53" t="s">
        <v>38</v>
      </c>
      <c r="F53" t="s">
        <v>204</v>
      </c>
      <c r="G53" t="s">
        <v>207</v>
      </c>
      <c r="H53" t="s">
        <v>41</v>
      </c>
      <c r="I53">
        <v>32.5</v>
      </c>
      <c r="J53">
        <v>30</v>
      </c>
      <c r="K53">
        <f>IFERROR(VLOOKUP(C53,[1]智慧家庭產品價格表.含稅!C:S,17,FALSE),0)</f>
        <v>3</v>
      </c>
      <c r="L53">
        <v>13</v>
      </c>
      <c r="M53">
        <f t="shared" si="0"/>
        <v>37.29</v>
      </c>
      <c r="N53">
        <v>20</v>
      </c>
      <c r="O53">
        <f t="shared" si="1"/>
        <v>1232</v>
      </c>
      <c r="P53">
        <v>210</v>
      </c>
      <c r="Q53">
        <v>315</v>
      </c>
      <c r="R53" s="4">
        <v>2.72</v>
      </c>
      <c r="S53" s="2">
        <v>0.94099999999999995</v>
      </c>
      <c r="T53" s="2">
        <v>0.95199999999999996</v>
      </c>
      <c r="U53" s="2">
        <v>0.95199999999999996</v>
      </c>
      <c r="V53" s="2">
        <v>0.95199999999999996</v>
      </c>
      <c r="W53" s="2">
        <v>0.95199999999999996</v>
      </c>
      <c r="X53" s="2">
        <v>0.95299999999999996</v>
      </c>
      <c r="Y53">
        <f t="shared" si="2"/>
        <v>3351</v>
      </c>
      <c r="Z53">
        <f t="shared" si="3"/>
        <v>2680</v>
      </c>
      <c r="AA53">
        <f t="shared" si="4"/>
        <v>2393</v>
      </c>
      <c r="AB53">
        <f t="shared" si="5"/>
        <v>1595</v>
      </c>
      <c r="AC53">
        <f t="shared" si="6"/>
        <v>2074</v>
      </c>
      <c r="AD53">
        <f t="shared" si="7"/>
        <v>1276</v>
      </c>
      <c r="AE53">
        <f t="shared" si="8"/>
        <v>1437</v>
      </c>
      <c r="AF53">
        <v>0.85</v>
      </c>
      <c r="AG53">
        <v>0.75</v>
      </c>
      <c r="AH53">
        <v>0.5</v>
      </c>
      <c r="AI53">
        <v>0.65</v>
      </c>
      <c r="AJ53">
        <v>0.4</v>
      </c>
      <c r="AK53">
        <v>0.45</v>
      </c>
      <c r="AL53" t="s">
        <v>46</v>
      </c>
    </row>
    <row r="54" spans="1:38" x14ac:dyDescent="0.45">
      <c r="A54" t="s">
        <v>36</v>
      </c>
      <c r="B54" t="s">
        <v>37</v>
      </c>
      <c r="C54" t="s">
        <v>208</v>
      </c>
      <c r="D54" t="s">
        <v>905</v>
      </c>
      <c r="E54" t="s">
        <v>38</v>
      </c>
      <c r="F54" t="s">
        <v>209</v>
      </c>
      <c r="G54" t="s">
        <v>210</v>
      </c>
      <c r="H54" t="s">
        <v>41</v>
      </c>
      <c r="I54">
        <v>32.5</v>
      </c>
      <c r="J54">
        <v>30</v>
      </c>
      <c r="K54">
        <f>IFERROR(VLOOKUP(C54,[1]智慧家庭產品價格表.含稅!C:S,17,FALSE),0)</f>
        <v>3</v>
      </c>
      <c r="L54">
        <v>13</v>
      </c>
      <c r="M54">
        <f t="shared" si="0"/>
        <v>37.29</v>
      </c>
      <c r="N54">
        <v>20</v>
      </c>
      <c r="O54">
        <f t="shared" si="1"/>
        <v>1232</v>
      </c>
      <c r="P54">
        <v>210</v>
      </c>
      <c r="Q54">
        <v>315</v>
      </c>
      <c r="R54" s="4">
        <v>2.59</v>
      </c>
      <c r="S54" s="2">
        <v>0.94099999999999995</v>
      </c>
      <c r="T54" s="2">
        <v>0.95199999999999996</v>
      </c>
      <c r="U54" s="2">
        <v>0.95199999999999996</v>
      </c>
      <c r="V54" s="2">
        <v>0.95199999999999996</v>
      </c>
      <c r="W54" s="2">
        <v>0.95199999999999996</v>
      </c>
      <c r="X54" s="2">
        <v>0.95199999999999996</v>
      </c>
      <c r="Y54">
        <f t="shared" si="2"/>
        <v>3191</v>
      </c>
      <c r="Z54">
        <f t="shared" si="3"/>
        <v>2552</v>
      </c>
      <c r="AA54">
        <f t="shared" si="4"/>
        <v>2278</v>
      </c>
      <c r="AB54">
        <f t="shared" si="5"/>
        <v>1519</v>
      </c>
      <c r="AC54">
        <f t="shared" si="6"/>
        <v>1975</v>
      </c>
      <c r="AD54">
        <f t="shared" si="7"/>
        <v>1215</v>
      </c>
      <c r="AE54">
        <f t="shared" si="8"/>
        <v>1367</v>
      </c>
      <c r="AF54">
        <v>0.85</v>
      </c>
      <c r="AG54">
        <v>0.75</v>
      </c>
      <c r="AH54">
        <v>0.5</v>
      </c>
      <c r="AI54">
        <v>0.65</v>
      </c>
      <c r="AJ54">
        <v>0.4</v>
      </c>
      <c r="AK54">
        <v>0.45</v>
      </c>
      <c r="AL54" t="s">
        <v>46</v>
      </c>
    </row>
    <row r="55" spans="1:38" x14ac:dyDescent="0.45">
      <c r="A55" t="s">
        <v>36</v>
      </c>
      <c r="B55" t="s">
        <v>37</v>
      </c>
      <c r="C55" t="s">
        <v>211</v>
      </c>
      <c r="D55" t="s">
        <v>906</v>
      </c>
      <c r="E55" t="s">
        <v>38</v>
      </c>
      <c r="F55" t="s">
        <v>209</v>
      </c>
      <c r="G55" t="s">
        <v>212</v>
      </c>
      <c r="H55" t="s">
        <v>41</v>
      </c>
      <c r="I55">
        <v>32.5</v>
      </c>
      <c r="J55">
        <v>30</v>
      </c>
      <c r="K55">
        <f>IFERROR(VLOOKUP(C55,[1]智慧家庭產品價格表.含稅!C:S,17,FALSE),0)</f>
        <v>3</v>
      </c>
      <c r="L55">
        <v>13</v>
      </c>
      <c r="M55">
        <f t="shared" si="0"/>
        <v>37.29</v>
      </c>
      <c r="N55">
        <v>20</v>
      </c>
      <c r="O55">
        <f t="shared" si="1"/>
        <v>1232</v>
      </c>
      <c r="P55">
        <v>210</v>
      </c>
      <c r="Q55">
        <v>315</v>
      </c>
      <c r="R55" s="4">
        <v>2.72</v>
      </c>
      <c r="S55" s="2">
        <v>0.94099999999999995</v>
      </c>
      <c r="T55" s="2">
        <v>0.95199999999999996</v>
      </c>
      <c r="U55" s="2">
        <v>0.95199999999999996</v>
      </c>
      <c r="V55" s="2">
        <v>0.95199999999999996</v>
      </c>
      <c r="W55" s="2">
        <v>0.95199999999999996</v>
      </c>
      <c r="X55" s="2">
        <v>0.95299999999999996</v>
      </c>
      <c r="Y55">
        <f t="shared" si="2"/>
        <v>3351</v>
      </c>
      <c r="Z55">
        <f t="shared" si="3"/>
        <v>2680</v>
      </c>
      <c r="AA55">
        <f t="shared" si="4"/>
        <v>2393</v>
      </c>
      <c r="AB55">
        <f t="shared" si="5"/>
        <v>1595</v>
      </c>
      <c r="AC55">
        <f t="shared" si="6"/>
        <v>2074</v>
      </c>
      <c r="AD55">
        <f t="shared" si="7"/>
        <v>1276</v>
      </c>
      <c r="AE55">
        <f t="shared" si="8"/>
        <v>1437</v>
      </c>
      <c r="AF55">
        <v>0.85</v>
      </c>
      <c r="AG55">
        <v>0.75</v>
      </c>
      <c r="AH55">
        <v>0.5</v>
      </c>
      <c r="AI55">
        <v>0.65</v>
      </c>
      <c r="AJ55">
        <v>0.4</v>
      </c>
      <c r="AK55">
        <v>0.45</v>
      </c>
      <c r="AL55" t="s">
        <v>46</v>
      </c>
    </row>
    <row r="56" spans="1:38" x14ac:dyDescent="0.45">
      <c r="A56" t="s">
        <v>36</v>
      </c>
      <c r="B56" t="s">
        <v>37</v>
      </c>
      <c r="C56" t="s">
        <v>213</v>
      </c>
      <c r="D56" t="s">
        <v>937</v>
      </c>
      <c r="E56" t="s">
        <v>38</v>
      </c>
      <c r="F56" t="s">
        <v>214</v>
      </c>
      <c r="G56" t="s">
        <v>215</v>
      </c>
      <c r="H56" t="s">
        <v>41</v>
      </c>
      <c r="I56">
        <v>32.5</v>
      </c>
      <c r="J56">
        <v>30</v>
      </c>
      <c r="K56">
        <f>IFERROR(VLOOKUP(C56,[1]智慧家庭產品價格表.含稅!C:S,17,FALSE),0)</f>
        <v>3</v>
      </c>
      <c r="L56">
        <v>13</v>
      </c>
      <c r="M56">
        <f t="shared" si="0"/>
        <v>37.29</v>
      </c>
      <c r="N56">
        <v>20</v>
      </c>
      <c r="O56">
        <f t="shared" si="1"/>
        <v>1232</v>
      </c>
      <c r="P56">
        <v>210</v>
      </c>
      <c r="Q56">
        <v>315</v>
      </c>
      <c r="R56" s="4">
        <v>2.59</v>
      </c>
      <c r="S56" s="2">
        <v>0.94099999999999995</v>
      </c>
      <c r="T56" s="2">
        <v>0.95199999999999996</v>
      </c>
      <c r="U56" s="2">
        <v>0.95199999999999996</v>
      </c>
      <c r="V56" s="2">
        <v>0.95199999999999996</v>
      </c>
      <c r="W56" s="2">
        <v>0.95199999999999996</v>
      </c>
      <c r="X56" s="2">
        <v>0.95199999999999996</v>
      </c>
      <c r="Y56">
        <f t="shared" si="2"/>
        <v>3191</v>
      </c>
      <c r="Z56">
        <f t="shared" si="3"/>
        <v>2552</v>
      </c>
      <c r="AA56">
        <f t="shared" si="4"/>
        <v>2278</v>
      </c>
      <c r="AB56">
        <f t="shared" si="5"/>
        <v>1519</v>
      </c>
      <c r="AC56">
        <f t="shared" si="6"/>
        <v>1975</v>
      </c>
      <c r="AD56">
        <f t="shared" si="7"/>
        <v>1215</v>
      </c>
      <c r="AE56">
        <f t="shared" si="8"/>
        <v>1367</v>
      </c>
      <c r="AF56">
        <v>0.85</v>
      </c>
      <c r="AG56">
        <v>0.75</v>
      </c>
      <c r="AH56">
        <v>0.5</v>
      </c>
      <c r="AI56">
        <v>0.65</v>
      </c>
      <c r="AJ56">
        <v>0.4</v>
      </c>
      <c r="AK56">
        <v>0.45</v>
      </c>
      <c r="AL56" t="s">
        <v>46</v>
      </c>
    </row>
    <row r="57" spans="1:38" x14ac:dyDescent="0.45">
      <c r="A57" t="s">
        <v>36</v>
      </c>
      <c r="B57" t="s">
        <v>37</v>
      </c>
      <c r="C57" t="s">
        <v>216</v>
      </c>
      <c r="D57" t="s">
        <v>938</v>
      </c>
      <c r="E57" t="s">
        <v>38</v>
      </c>
      <c r="F57" t="s">
        <v>217</v>
      </c>
      <c r="G57" t="s">
        <v>218</v>
      </c>
      <c r="H57" t="s">
        <v>41</v>
      </c>
      <c r="I57">
        <v>32.5</v>
      </c>
      <c r="J57">
        <v>30</v>
      </c>
      <c r="K57">
        <f>IFERROR(VLOOKUP(C57,[1]智慧家庭產品價格表.含稅!C:S,17,FALSE),0)</f>
        <v>3</v>
      </c>
      <c r="L57">
        <v>13</v>
      </c>
      <c r="M57">
        <f t="shared" si="0"/>
        <v>37.29</v>
      </c>
      <c r="N57">
        <v>20</v>
      </c>
      <c r="O57">
        <f t="shared" si="1"/>
        <v>1232</v>
      </c>
      <c r="P57">
        <v>210</v>
      </c>
      <c r="Q57">
        <v>315</v>
      </c>
      <c r="R57" s="4">
        <v>2.59</v>
      </c>
      <c r="S57" s="2">
        <v>0.94099999999999995</v>
      </c>
      <c r="T57" s="2">
        <v>0.95199999999999996</v>
      </c>
      <c r="U57" s="2">
        <v>0.95199999999999996</v>
      </c>
      <c r="V57" s="2">
        <v>0.95199999999999996</v>
      </c>
      <c r="W57" s="2">
        <v>0.95199999999999996</v>
      </c>
      <c r="X57" s="2">
        <v>0.95199999999999996</v>
      </c>
      <c r="Y57">
        <f t="shared" si="2"/>
        <v>3191</v>
      </c>
      <c r="Z57">
        <f t="shared" si="3"/>
        <v>2552</v>
      </c>
      <c r="AA57">
        <f t="shared" si="4"/>
        <v>2278</v>
      </c>
      <c r="AB57">
        <f t="shared" si="5"/>
        <v>1519</v>
      </c>
      <c r="AC57">
        <f t="shared" si="6"/>
        <v>1975</v>
      </c>
      <c r="AD57">
        <f t="shared" si="7"/>
        <v>1215</v>
      </c>
      <c r="AE57">
        <f t="shared" si="8"/>
        <v>1367</v>
      </c>
      <c r="AF57">
        <v>0.85</v>
      </c>
      <c r="AG57">
        <v>0.75</v>
      </c>
      <c r="AH57">
        <v>0.5</v>
      </c>
      <c r="AI57">
        <v>0.65</v>
      </c>
      <c r="AJ57">
        <v>0.4</v>
      </c>
      <c r="AK57">
        <v>0.45</v>
      </c>
      <c r="AL57" t="s">
        <v>46</v>
      </c>
    </row>
    <row r="58" spans="1:38" x14ac:dyDescent="0.45">
      <c r="A58" t="s">
        <v>36</v>
      </c>
      <c r="B58" t="s">
        <v>37</v>
      </c>
      <c r="C58" t="s">
        <v>219</v>
      </c>
      <c r="D58" t="s">
        <v>939</v>
      </c>
      <c r="E58" t="s">
        <v>38</v>
      </c>
      <c r="F58" t="s">
        <v>217</v>
      </c>
      <c r="G58" t="s">
        <v>220</v>
      </c>
      <c r="H58" t="s">
        <v>41</v>
      </c>
      <c r="I58">
        <v>32.5</v>
      </c>
      <c r="J58">
        <v>30</v>
      </c>
      <c r="K58">
        <f>IFERROR(VLOOKUP(C58,[1]智慧家庭產品價格表.含稅!C:S,17,FALSE),0)</f>
        <v>3</v>
      </c>
      <c r="L58">
        <v>13</v>
      </c>
      <c r="M58">
        <f t="shared" si="0"/>
        <v>37.29</v>
      </c>
      <c r="N58">
        <v>20</v>
      </c>
      <c r="O58">
        <f t="shared" si="1"/>
        <v>1232</v>
      </c>
      <c r="P58">
        <v>210</v>
      </c>
      <c r="Q58">
        <v>315</v>
      </c>
      <c r="R58" s="4">
        <v>2.59</v>
      </c>
      <c r="S58" s="2">
        <v>0.94099999999999995</v>
      </c>
      <c r="T58" s="2">
        <v>0.95199999999999996</v>
      </c>
      <c r="U58" s="2">
        <v>0.95199999999999996</v>
      </c>
      <c r="V58" s="2">
        <v>0.95199999999999996</v>
      </c>
      <c r="W58" s="2">
        <v>0.95199999999999996</v>
      </c>
      <c r="X58" s="2">
        <v>0.95199999999999996</v>
      </c>
      <c r="Y58">
        <f t="shared" si="2"/>
        <v>3191</v>
      </c>
      <c r="Z58">
        <f t="shared" si="3"/>
        <v>2552</v>
      </c>
      <c r="AA58">
        <f t="shared" si="4"/>
        <v>2278</v>
      </c>
      <c r="AB58">
        <f t="shared" si="5"/>
        <v>1519</v>
      </c>
      <c r="AC58">
        <f t="shared" si="6"/>
        <v>1975</v>
      </c>
      <c r="AD58">
        <f t="shared" si="7"/>
        <v>1215</v>
      </c>
      <c r="AE58">
        <f t="shared" si="8"/>
        <v>1367</v>
      </c>
      <c r="AF58">
        <v>0.85</v>
      </c>
      <c r="AG58">
        <v>0.75</v>
      </c>
      <c r="AH58">
        <v>0.5</v>
      </c>
      <c r="AI58">
        <v>0.65</v>
      </c>
      <c r="AJ58">
        <v>0.4</v>
      </c>
      <c r="AK58">
        <v>0.45</v>
      </c>
      <c r="AL58" t="s">
        <v>46</v>
      </c>
    </row>
    <row r="59" spans="1:38" x14ac:dyDescent="0.45">
      <c r="A59" t="s">
        <v>36</v>
      </c>
      <c r="B59" t="s">
        <v>37</v>
      </c>
      <c r="C59" t="s">
        <v>221</v>
      </c>
      <c r="D59" t="s">
        <v>940</v>
      </c>
      <c r="E59" t="s">
        <v>38</v>
      </c>
      <c r="F59" t="s">
        <v>214</v>
      </c>
      <c r="G59" t="s">
        <v>222</v>
      </c>
      <c r="H59" t="s">
        <v>41</v>
      </c>
      <c r="I59">
        <v>32.5</v>
      </c>
      <c r="J59">
        <v>30</v>
      </c>
      <c r="K59">
        <f>IFERROR(VLOOKUP(C59,[1]智慧家庭產品價格表.含稅!C:S,17,FALSE),0)</f>
        <v>3</v>
      </c>
      <c r="L59">
        <v>13</v>
      </c>
      <c r="M59">
        <f t="shared" si="0"/>
        <v>37.29</v>
      </c>
      <c r="N59">
        <v>20</v>
      </c>
      <c r="O59">
        <f t="shared" si="1"/>
        <v>1232</v>
      </c>
      <c r="P59">
        <v>210</v>
      </c>
      <c r="Q59">
        <v>315</v>
      </c>
      <c r="R59" s="4">
        <v>2.59</v>
      </c>
      <c r="S59" s="2">
        <v>0.94099999999999995</v>
      </c>
      <c r="T59" s="2">
        <v>0.95199999999999996</v>
      </c>
      <c r="U59" s="2">
        <v>0.95199999999999996</v>
      </c>
      <c r="V59" s="2">
        <v>0.95199999999999996</v>
      </c>
      <c r="W59" s="2">
        <v>0.95199999999999996</v>
      </c>
      <c r="X59" s="2">
        <v>0.95199999999999996</v>
      </c>
      <c r="Y59">
        <f t="shared" si="2"/>
        <v>3191</v>
      </c>
      <c r="Z59">
        <f t="shared" si="3"/>
        <v>2552</v>
      </c>
      <c r="AA59">
        <f t="shared" si="4"/>
        <v>2278</v>
      </c>
      <c r="AB59">
        <f t="shared" si="5"/>
        <v>1519</v>
      </c>
      <c r="AC59">
        <f t="shared" si="6"/>
        <v>1975</v>
      </c>
      <c r="AD59">
        <f t="shared" si="7"/>
        <v>1215</v>
      </c>
      <c r="AE59">
        <f t="shared" si="8"/>
        <v>1367</v>
      </c>
      <c r="AF59">
        <v>0.85</v>
      </c>
      <c r="AG59">
        <v>0.75</v>
      </c>
      <c r="AH59">
        <v>0.5</v>
      </c>
      <c r="AI59">
        <v>0.65</v>
      </c>
      <c r="AJ59">
        <v>0.4</v>
      </c>
      <c r="AK59">
        <v>0.45</v>
      </c>
      <c r="AL59" t="s">
        <v>46</v>
      </c>
    </row>
    <row r="60" spans="1:38" x14ac:dyDescent="0.45">
      <c r="A60" t="s">
        <v>36</v>
      </c>
      <c r="B60" t="s">
        <v>37</v>
      </c>
      <c r="C60" t="s">
        <v>223</v>
      </c>
      <c r="D60" t="s">
        <v>941</v>
      </c>
      <c r="E60" t="s">
        <v>224</v>
      </c>
      <c r="F60" t="s">
        <v>225</v>
      </c>
      <c r="G60" t="s">
        <v>226</v>
      </c>
      <c r="H60" t="s">
        <v>41</v>
      </c>
      <c r="I60">
        <v>32.5</v>
      </c>
      <c r="J60">
        <v>55.82</v>
      </c>
      <c r="K60">
        <f>IFERROR(VLOOKUP(C60,[1]智慧家庭產品價格表.含稅!C:S,17,FALSE),0)</f>
        <v>15</v>
      </c>
      <c r="L60">
        <v>13</v>
      </c>
      <c r="M60">
        <f t="shared" si="0"/>
        <v>80.03</v>
      </c>
      <c r="N60">
        <v>896</v>
      </c>
      <c r="O60">
        <f t="shared" si="1"/>
        <v>3497</v>
      </c>
      <c r="P60">
        <v>472</v>
      </c>
      <c r="Q60">
        <v>315</v>
      </c>
      <c r="R60" s="4">
        <v>2.7719999999999998</v>
      </c>
      <c r="S60" s="2">
        <v>0.94099999999999995</v>
      </c>
      <c r="T60" s="2">
        <v>0.95199999999999996</v>
      </c>
      <c r="U60" s="2">
        <v>0.95199999999999996</v>
      </c>
      <c r="V60" s="2">
        <v>0.95199999999999996</v>
      </c>
      <c r="W60" s="2">
        <v>0.95199999999999996</v>
      </c>
      <c r="X60" s="2">
        <v>0.95199999999999996</v>
      </c>
      <c r="Y60">
        <f t="shared" si="2"/>
        <v>9694</v>
      </c>
      <c r="Z60">
        <f t="shared" si="3"/>
        <v>7754</v>
      </c>
      <c r="AA60">
        <f t="shared" si="4"/>
        <v>6922</v>
      </c>
      <c r="AB60">
        <f t="shared" si="5"/>
        <v>4614</v>
      </c>
      <c r="AC60">
        <f t="shared" si="6"/>
        <v>5999</v>
      </c>
      <c r="AD60">
        <f t="shared" si="7"/>
        <v>3691</v>
      </c>
      <c r="AE60">
        <f t="shared" si="8"/>
        <v>4153</v>
      </c>
      <c r="AF60">
        <v>0.85</v>
      </c>
      <c r="AG60">
        <v>0.75</v>
      </c>
      <c r="AH60">
        <v>0.5</v>
      </c>
      <c r="AI60">
        <v>0.65</v>
      </c>
      <c r="AJ60">
        <v>0.4</v>
      </c>
      <c r="AK60">
        <v>0.45</v>
      </c>
    </row>
    <row r="61" spans="1:38" x14ac:dyDescent="0.45">
      <c r="A61" t="s">
        <v>36</v>
      </c>
      <c r="B61" t="s">
        <v>37</v>
      </c>
      <c r="C61" t="s">
        <v>227</v>
      </c>
      <c r="D61" t="s">
        <v>942</v>
      </c>
      <c r="E61" t="s">
        <v>224</v>
      </c>
      <c r="F61" t="s">
        <v>228</v>
      </c>
      <c r="G61" t="s">
        <v>229</v>
      </c>
      <c r="H61" t="s">
        <v>41</v>
      </c>
      <c r="I61">
        <v>32.5</v>
      </c>
      <c r="J61">
        <v>85.542857142857102</v>
      </c>
      <c r="K61">
        <f>IFERROR(VLOOKUP(C61,[1]智慧家庭產品價格表.含稅!C:S,17,FALSE),0)</f>
        <v>15</v>
      </c>
      <c r="L61">
        <v>13</v>
      </c>
      <c r="M61">
        <f t="shared" si="0"/>
        <v>113.61</v>
      </c>
      <c r="N61">
        <v>896</v>
      </c>
      <c r="O61">
        <f t="shared" si="1"/>
        <v>4588</v>
      </c>
      <c r="P61">
        <v>472</v>
      </c>
      <c r="Q61">
        <v>315</v>
      </c>
      <c r="R61" s="4">
        <v>3.62</v>
      </c>
      <c r="S61" s="2">
        <v>0.94099999999999995</v>
      </c>
      <c r="T61" s="2">
        <v>0.95199999999999996</v>
      </c>
      <c r="U61" s="2">
        <v>0.95199999999999996</v>
      </c>
      <c r="V61" s="2">
        <v>0.95199999999999996</v>
      </c>
      <c r="W61" s="2">
        <v>0.95199999999999996</v>
      </c>
      <c r="X61" s="2">
        <v>0.95199999999999996</v>
      </c>
      <c r="Y61">
        <f t="shared" si="2"/>
        <v>16609</v>
      </c>
      <c r="Z61">
        <f t="shared" si="3"/>
        <v>13285</v>
      </c>
      <c r="AA61">
        <f t="shared" si="4"/>
        <v>11859</v>
      </c>
      <c r="AB61">
        <f t="shared" si="5"/>
        <v>7906</v>
      </c>
      <c r="AC61">
        <f t="shared" si="6"/>
        <v>10278</v>
      </c>
      <c r="AD61">
        <f t="shared" si="7"/>
        <v>6325</v>
      </c>
      <c r="AE61">
        <f t="shared" si="8"/>
        <v>7115</v>
      </c>
      <c r="AF61">
        <v>0.85</v>
      </c>
      <c r="AG61">
        <v>0.75</v>
      </c>
      <c r="AH61">
        <v>0.5</v>
      </c>
      <c r="AI61">
        <v>0.65</v>
      </c>
      <c r="AJ61">
        <v>0.4</v>
      </c>
      <c r="AK61">
        <v>0.45</v>
      </c>
    </row>
    <row r="62" spans="1:38" x14ac:dyDescent="0.45">
      <c r="A62" t="s">
        <v>36</v>
      </c>
      <c r="B62" t="s">
        <v>37</v>
      </c>
      <c r="C62" t="s">
        <v>230</v>
      </c>
      <c r="D62" t="s">
        <v>943</v>
      </c>
      <c r="E62" t="s">
        <v>231</v>
      </c>
      <c r="G62" t="s">
        <v>232</v>
      </c>
      <c r="H62" t="s">
        <v>41</v>
      </c>
      <c r="I62">
        <v>32.5</v>
      </c>
      <c r="J62">
        <v>50</v>
      </c>
      <c r="K62">
        <f>IFERROR(VLOOKUP(C62,[1]智慧家庭產品價格表.含稅!C:S,17,FALSE),0)</f>
        <v>3</v>
      </c>
      <c r="L62">
        <v>13</v>
      </c>
      <c r="M62">
        <f t="shared" si="0"/>
        <v>59.89</v>
      </c>
      <c r="N62">
        <v>0</v>
      </c>
      <c r="O62">
        <f t="shared" si="1"/>
        <v>1946</v>
      </c>
      <c r="P62">
        <v>0</v>
      </c>
      <c r="Q62">
        <v>0</v>
      </c>
      <c r="R62" s="4">
        <v>1.1879999999999999</v>
      </c>
      <c r="S62" s="2">
        <v>0.94</v>
      </c>
      <c r="T62" s="2">
        <v>0.95199999999999996</v>
      </c>
      <c r="U62" s="2">
        <v>0.95199999999999996</v>
      </c>
      <c r="V62" s="2">
        <v>0.95199999999999996</v>
      </c>
      <c r="W62" s="2">
        <v>0.95199999999999996</v>
      </c>
      <c r="X62" s="2">
        <v>0.95199999999999996</v>
      </c>
      <c r="Y62">
        <f t="shared" si="2"/>
        <v>2312</v>
      </c>
      <c r="Z62">
        <f t="shared" si="3"/>
        <v>1847</v>
      </c>
      <c r="AA62">
        <f t="shared" si="4"/>
        <v>1651</v>
      </c>
      <c r="AB62">
        <f t="shared" si="5"/>
        <v>1101</v>
      </c>
      <c r="AC62">
        <f t="shared" si="6"/>
        <v>1431</v>
      </c>
      <c r="AD62">
        <f t="shared" si="7"/>
        <v>880</v>
      </c>
      <c r="AE62">
        <f t="shared" si="8"/>
        <v>990</v>
      </c>
      <c r="AF62">
        <v>0.85</v>
      </c>
      <c r="AG62">
        <v>0.75</v>
      </c>
      <c r="AH62">
        <v>0.5</v>
      </c>
      <c r="AI62">
        <v>0.65</v>
      </c>
      <c r="AJ62">
        <v>0.4</v>
      </c>
      <c r="AK62">
        <v>0.45</v>
      </c>
    </row>
    <row r="63" spans="1:38" x14ac:dyDescent="0.45">
      <c r="A63" t="s">
        <v>36</v>
      </c>
      <c r="B63" t="s">
        <v>37</v>
      </c>
      <c r="C63" t="s">
        <v>233</v>
      </c>
      <c r="D63" t="s">
        <v>944</v>
      </c>
      <c r="E63" t="s">
        <v>224</v>
      </c>
      <c r="F63" t="s">
        <v>234</v>
      </c>
      <c r="G63" t="s">
        <v>235</v>
      </c>
      <c r="H63" t="s">
        <v>41</v>
      </c>
      <c r="I63">
        <v>32.5</v>
      </c>
      <c r="J63">
        <v>161</v>
      </c>
      <c r="K63">
        <f>IFERROR(VLOOKUP(C63,[1]智慧家庭產品價格表.含稅!C:S,17,FALSE),0)</f>
        <v>15</v>
      </c>
      <c r="L63">
        <v>13</v>
      </c>
      <c r="M63">
        <f t="shared" si="0"/>
        <v>198.88</v>
      </c>
      <c r="N63">
        <v>896</v>
      </c>
      <c r="O63">
        <f t="shared" si="1"/>
        <v>7360</v>
      </c>
      <c r="P63">
        <v>472</v>
      </c>
      <c r="Q63">
        <v>315</v>
      </c>
      <c r="R63" s="4">
        <v>3.4689999999999999</v>
      </c>
      <c r="S63" s="2">
        <v>0.94099999999999995</v>
      </c>
      <c r="T63" s="2">
        <v>0.95199999999999996</v>
      </c>
      <c r="U63" s="2">
        <v>0.95199999999999996</v>
      </c>
      <c r="V63" s="2">
        <v>0.95199999999999996</v>
      </c>
      <c r="W63" s="2">
        <v>0.95199999999999996</v>
      </c>
      <c r="X63" s="2">
        <v>0.95199999999999996</v>
      </c>
      <c r="Y63">
        <f t="shared" si="2"/>
        <v>25532</v>
      </c>
      <c r="Z63">
        <f t="shared" si="3"/>
        <v>20422</v>
      </c>
      <c r="AA63">
        <f t="shared" si="4"/>
        <v>18230</v>
      </c>
      <c r="AB63">
        <f t="shared" si="5"/>
        <v>12153</v>
      </c>
      <c r="AC63">
        <f t="shared" si="6"/>
        <v>15799</v>
      </c>
      <c r="AD63">
        <f t="shared" si="7"/>
        <v>9723</v>
      </c>
      <c r="AE63">
        <f t="shared" si="8"/>
        <v>10938</v>
      </c>
      <c r="AF63">
        <v>0.85</v>
      </c>
      <c r="AG63">
        <v>0.75</v>
      </c>
      <c r="AH63">
        <v>0.5</v>
      </c>
      <c r="AI63">
        <v>0.65</v>
      </c>
      <c r="AJ63">
        <v>0.4</v>
      </c>
      <c r="AK63">
        <v>0.45</v>
      </c>
    </row>
    <row r="64" spans="1:38" x14ac:dyDescent="0.45">
      <c r="A64" t="s">
        <v>36</v>
      </c>
      <c r="B64" t="s">
        <v>37</v>
      </c>
      <c r="C64" t="s">
        <v>236</v>
      </c>
      <c r="D64" t="s">
        <v>945</v>
      </c>
      <c r="E64" t="s">
        <v>38</v>
      </c>
      <c r="F64" t="s">
        <v>237</v>
      </c>
      <c r="G64" t="s">
        <v>238</v>
      </c>
      <c r="H64" t="s">
        <v>41</v>
      </c>
      <c r="I64">
        <v>32.5</v>
      </c>
      <c r="J64">
        <v>20.96</v>
      </c>
      <c r="K64">
        <f>IFERROR(VLOOKUP(C64,[1]智慧家庭產品價格表.含稅!C:S,17,FALSE),0)</f>
        <v>1</v>
      </c>
      <c r="L64">
        <v>13</v>
      </c>
      <c r="M64">
        <f t="shared" si="0"/>
        <v>24.81</v>
      </c>
      <c r="N64">
        <v>20</v>
      </c>
      <c r="O64">
        <f t="shared" si="1"/>
        <v>826</v>
      </c>
      <c r="P64">
        <v>262</v>
      </c>
      <c r="Q64">
        <v>714</v>
      </c>
      <c r="R64" s="4">
        <v>4.0940000000000003</v>
      </c>
      <c r="S64" s="2">
        <v>0.94099999999999995</v>
      </c>
      <c r="T64" s="2">
        <v>0.95199999999999996</v>
      </c>
      <c r="U64" s="2">
        <v>0.95199999999999996</v>
      </c>
      <c r="V64" s="2">
        <v>0.95199999999999996</v>
      </c>
      <c r="W64" s="2">
        <v>0.95199999999999996</v>
      </c>
      <c r="X64" s="2">
        <v>0.95199999999999996</v>
      </c>
      <c r="Y64">
        <f t="shared" si="2"/>
        <v>3382</v>
      </c>
      <c r="Z64">
        <f t="shared" si="3"/>
        <v>2705</v>
      </c>
      <c r="AA64">
        <f t="shared" si="4"/>
        <v>2415</v>
      </c>
      <c r="AB64">
        <f t="shared" si="5"/>
        <v>1610</v>
      </c>
      <c r="AC64">
        <f t="shared" si="6"/>
        <v>2093</v>
      </c>
      <c r="AD64">
        <f t="shared" si="7"/>
        <v>1288</v>
      </c>
      <c r="AE64">
        <f t="shared" si="8"/>
        <v>1449</v>
      </c>
      <c r="AF64">
        <v>0.85</v>
      </c>
      <c r="AG64">
        <v>0.75</v>
      </c>
      <c r="AH64">
        <v>0.5</v>
      </c>
      <c r="AI64">
        <v>0.65</v>
      </c>
      <c r="AJ64">
        <v>0.4</v>
      </c>
      <c r="AK64">
        <v>0.45</v>
      </c>
      <c r="AL64" t="s">
        <v>46</v>
      </c>
    </row>
    <row r="65" spans="1:38" x14ac:dyDescent="0.45">
      <c r="A65" t="s">
        <v>36</v>
      </c>
      <c r="B65" t="s">
        <v>37</v>
      </c>
      <c r="C65" t="s">
        <v>239</v>
      </c>
      <c r="D65" t="s">
        <v>946</v>
      </c>
      <c r="E65" t="s">
        <v>38</v>
      </c>
      <c r="F65" t="s">
        <v>240</v>
      </c>
      <c r="G65" t="s">
        <v>241</v>
      </c>
      <c r="H65" t="s">
        <v>41</v>
      </c>
      <c r="I65">
        <v>32.5</v>
      </c>
      <c r="J65">
        <v>17.940000000000001</v>
      </c>
      <c r="K65">
        <f>IFERROR(VLOOKUP(C65,[1]智慧家庭產品價格表.含稅!C:S,17,FALSE),0)</f>
        <v>1</v>
      </c>
      <c r="L65">
        <v>13</v>
      </c>
      <c r="M65">
        <f t="shared" si="0"/>
        <v>21.4</v>
      </c>
      <c r="N65">
        <v>20</v>
      </c>
      <c r="O65">
        <f t="shared" si="1"/>
        <v>716</v>
      </c>
      <c r="P65">
        <v>262</v>
      </c>
      <c r="Q65">
        <v>714</v>
      </c>
      <c r="R65" s="4">
        <v>3.82</v>
      </c>
      <c r="S65" s="2">
        <v>0.94099999999999995</v>
      </c>
      <c r="T65" s="2">
        <v>0.95199999999999996</v>
      </c>
      <c r="U65" s="2">
        <v>0.95199999999999996</v>
      </c>
      <c r="V65" s="2">
        <v>0.95199999999999996</v>
      </c>
      <c r="W65" s="2">
        <v>0.95199999999999996</v>
      </c>
      <c r="X65" s="2">
        <v>0.95199999999999996</v>
      </c>
      <c r="Y65">
        <f t="shared" si="2"/>
        <v>2735</v>
      </c>
      <c r="Z65">
        <f t="shared" si="3"/>
        <v>2188</v>
      </c>
      <c r="AA65">
        <f t="shared" si="4"/>
        <v>1953</v>
      </c>
      <c r="AB65">
        <f t="shared" si="5"/>
        <v>1302</v>
      </c>
      <c r="AC65">
        <f t="shared" si="6"/>
        <v>1692</v>
      </c>
      <c r="AD65">
        <f t="shared" si="7"/>
        <v>1041</v>
      </c>
      <c r="AE65">
        <f t="shared" si="8"/>
        <v>1172</v>
      </c>
      <c r="AF65">
        <v>0.85</v>
      </c>
      <c r="AG65">
        <v>0.75</v>
      </c>
      <c r="AH65">
        <v>0.5</v>
      </c>
      <c r="AI65">
        <v>0.65</v>
      </c>
      <c r="AJ65">
        <v>0.4</v>
      </c>
      <c r="AK65">
        <v>0.45</v>
      </c>
      <c r="AL65" t="s">
        <v>46</v>
      </c>
    </row>
    <row r="66" spans="1:38" x14ac:dyDescent="0.45">
      <c r="A66" t="s">
        <v>36</v>
      </c>
      <c r="B66" t="s">
        <v>37</v>
      </c>
      <c r="C66" t="s">
        <v>242</v>
      </c>
      <c r="D66" t="s">
        <v>947</v>
      </c>
      <c r="E66" t="s">
        <v>38</v>
      </c>
      <c r="F66" t="s">
        <v>243</v>
      </c>
      <c r="G66" t="s">
        <v>244</v>
      </c>
      <c r="H66" t="s">
        <v>41</v>
      </c>
      <c r="I66">
        <v>32.5</v>
      </c>
      <c r="J66">
        <v>19.45</v>
      </c>
      <c r="K66">
        <f>IFERROR(VLOOKUP(C66,[1]智慧家庭產品價格表.含稅!C:S,17,FALSE),0)</f>
        <v>1</v>
      </c>
      <c r="L66">
        <v>13</v>
      </c>
      <c r="M66">
        <f t="shared" si="0"/>
        <v>23.11</v>
      </c>
      <c r="N66">
        <v>20</v>
      </c>
      <c r="O66">
        <f t="shared" si="1"/>
        <v>771</v>
      </c>
      <c r="P66">
        <v>262</v>
      </c>
      <c r="Q66">
        <v>714</v>
      </c>
      <c r="R66" s="4">
        <v>4.3860000000000001</v>
      </c>
      <c r="S66" s="2">
        <v>0.94099999999999995</v>
      </c>
      <c r="T66" s="2">
        <v>0.95199999999999996</v>
      </c>
      <c r="U66" s="2">
        <v>0.95199999999999996</v>
      </c>
      <c r="V66" s="2">
        <v>0.95199999999999996</v>
      </c>
      <c r="W66" s="2">
        <v>0.95199999999999996</v>
      </c>
      <c r="X66" s="2">
        <v>0.95199999999999996</v>
      </c>
      <c r="Y66">
        <f t="shared" si="2"/>
        <v>3382</v>
      </c>
      <c r="Z66">
        <f t="shared" si="3"/>
        <v>2705</v>
      </c>
      <c r="AA66">
        <f t="shared" si="4"/>
        <v>2415</v>
      </c>
      <c r="AB66">
        <f t="shared" si="5"/>
        <v>1610</v>
      </c>
      <c r="AC66">
        <f t="shared" si="6"/>
        <v>2093</v>
      </c>
      <c r="AD66">
        <f t="shared" si="7"/>
        <v>1288</v>
      </c>
      <c r="AE66">
        <f t="shared" si="8"/>
        <v>1449</v>
      </c>
      <c r="AF66">
        <v>0.85</v>
      </c>
      <c r="AG66">
        <v>0.75</v>
      </c>
      <c r="AH66">
        <v>0.5</v>
      </c>
      <c r="AI66">
        <v>0.65</v>
      </c>
      <c r="AJ66">
        <v>0.4</v>
      </c>
      <c r="AK66">
        <v>0.45</v>
      </c>
      <c r="AL66" t="s">
        <v>46</v>
      </c>
    </row>
    <row r="67" spans="1:38" x14ac:dyDescent="0.45">
      <c r="A67" t="s">
        <v>36</v>
      </c>
      <c r="B67" t="s">
        <v>37</v>
      </c>
      <c r="C67" t="s">
        <v>245</v>
      </c>
      <c r="D67" t="s">
        <v>948</v>
      </c>
      <c r="E67" t="s">
        <v>38</v>
      </c>
      <c r="F67" t="s">
        <v>246</v>
      </c>
      <c r="G67" t="s">
        <v>247</v>
      </c>
      <c r="H67" t="s">
        <v>41</v>
      </c>
      <c r="I67">
        <v>32.5</v>
      </c>
      <c r="J67">
        <v>20.96</v>
      </c>
      <c r="K67">
        <f>IFERROR(VLOOKUP(C67,[1]智慧家庭產品價格表.含稅!C:S,17,FALSE),0)</f>
        <v>1</v>
      </c>
      <c r="L67">
        <v>13</v>
      </c>
      <c r="M67">
        <f t="shared" si="0"/>
        <v>24.81</v>
      </c>
      <c r="N67">
        <v>20</v>
      </c>
      <c r="O67">
        <f t="shared" si="1"/>
        <v>826</v>
      </c>
      <c r="P67">
        <v>262</v>
      </c>
      <c r="Q67">
        <v>714</v>
      </c>
      <c r="R67" s="4">
        <v>4.0940000000000003</v>
      </c>
      <c r="S67" s="2">
        <v>0.94099999999999995</v>
      </c>
      <c r="T67" s="2">
        <v>0.95199999999999996</v>
      </c>
      <c r="U67" s="2">
        <v>0.95199999999999996</v>
      </c>
      <c r="V67" s="2">
        <v>0.95199999999999996</v>
      </c>
      <c r="W67" s="2">
        <v>0.95199999999999996</v>
      </c>
      <c r="X67" s="2">
        <v>0.95199999999999996</v>
      </c>
      <c r="Y67">
        <f t="shared" si="2"/>
        <v>3382</v>
      </c>
      <c r="Z67">
        <f t="shared" si="3"/>
        <v>2705</v>
      </c>
      <c r="AA67">
        <f t="shared" si="4"/>
        <v>2415</v>
      </c>
      <c r="AB67">
        <f t="shared" si="5"/>
        <v>1610</v>
      </c>
      <c r="AC67">
        <f t="shared" si="6"/>
        <v>2093</v>
      </c>
      <c r="AD67">
        <f t="shared" si="7"/>
        <v>1288</v>
      </c>
      <c r="AE67">
        <f t="shared" si="8"/>
        <v>1449</v>
      </c>
      <c r="AF67">
        <v>0.85</v>
      </c>
      <c r="AG67">
        <v>0.75</v>
      </c>
      <c r="AH67">
        <v>0.5</v>
      </c>
      <c r="AI67">
        <v>0.65</v>
      </c>
      <c r="AJ67">
        <v>0.4</v>
      </c>
      <c r="AK67">
        <v>0.45</v>
      </c>
      <c r="AL67" t="s">
        <v>46</v>
      </c>
    </row>
    <row r="68" spans="1:38" x14ac:dyDescent="0.45">
      <c r="A68" t="s">
        <v>36</v>
      </c>
      <c r="B68" t="s">
        <v>37</v>
      </c>
      <c r="C68" t="s">
        <v>248</v>
      </c>
      <c r="D68" t="s">
        <v>249</v>
      </c>
      <c r="E68" t="s">
        <v>199</v>
      </c>
      <c r="G68" t="s">
        <v>250</v>
      </c>
      <c r="H68" t="s">
        <v>41</v>
      </c>
      <c r="I68">
        <v>32.5</v>
      </c>
      <c r="J68">
        <v>58</v>
      </c>
      <c r="K68">
        <f>IFERROR(VLOOKUP(C68,[1]智慧家庭產品價格表.含稅!C:S,17,FALSE),0)</f>
        <v>4</v>
      </c>
      <c r="L68">
        <v>13</v>
      </c>
      <c r="M68">
        <f t="shared" ref="M68:M131" si="9">ROUND(IF(L68&lt;1,(J68+K68)*L68+(J68+K68),(J68+K68)*(L68/100)+(J68+K68)),2)</f>
        <v>70.06</v>
      </c>
      <c r="N68">
        <v>0</v>
      </c>
      <c r="O68">
        <f t="shared" ref="O68:O131" si="10">ROUND(M68*I68+N68,0)</f>
        <v>2277</v>
      </c>
      <c r="P68">
        <v>315</v>
      </c>
      <c r="Q68">
        <v>1575</v>
      </c>
      <c r="R68" s="4">
        <v>1.494</v>
      </c>
      <c r="S68" s="2">
        <v>1.1759999999999999</v>
      </c>
      <c r="T68" s="2">
        <v>1.079</v>
      </c>
      <c r="U68" s="2">
        <v>1.6180000000000001</v>
      </c>
      <c r="V68" s="2">
        <v>1.2450000000000001</v>
      </c>
      <c r="W68" s="2">
        <v>2.0219999999999998</v>
      </c>
      <c r="X68" s="2">
        <v>1.798</v>
      </c>
      <c r="Y68">
        <f t="shared" ref="Y68:Y131" si="11">ROUND(O68*R68,0)</f>
        <v>3402</v>
      </c>
      <c r="Z68">
        <f t="shared" ref="Z68:Z131" si="12">ROUND(Y68*S68*AF68,0)</f>
        <v>3401</v>
      </c>
      <c r="AA68">
        <f t="shared" ref="AA68:AA131" si="13">ROUND(Y68*T68*AG68,0)</f>
        <v>2753</v>
      </c>
      <c r="AB68">
        <f t="shared" ref="AB68:AB131" si="14">ROUND(Y68*U68*AH68,0)</f>
        <v>2752</v>
      </c>
      <c r="AC68">
        <f t="shared" ref="AC68:AC131" si="15">ROUND(Y68*V68*AI68,0)</f>
        <v>2753</v>
      </c>
      <c r="AD68">
        <f t="shared" ref="AD68:AD131" si="16">ROUND(Y68*W68*AJ68,0)</f>
        <v>2752</v>
      </c>
      <c r="AE68">
        <f t="shared" ref="AE68:AE131" si="17">ROUND(Y68*X68*AK68,0)</f>
        <v>2753</v>
      </c>
      <c r="AF68">
        <v>0.85</v>
      </c>
      <c r="AG68">
        <v>0.75</v>
      </c>
      <c r="AH68">
        <v>0.5</v>
      </c>
      <c r="AI68">
        <v>0.65</v>
      </c>
      <c r="AJ68">
        <v>0.4</v>
      </c>
      <c r="AK68">
        <v>0.45</v>
      </c>
    </row>
    <row r="69" spans="1:38" x14ac:dyDescent="0.45">
      <c r="A69" t="s">
        <v>36</v>
      </c>
      <c r="B69" t="s">
        <v>37</v>
      </c>
      <c r="C69" t="s">
        <v>251</v>
      </c>
      <c r="D69" t="s">
        <v>949</v>
      </c>
      <c r="E69" t="s">
        <v>199</v>
      </c>
      <c r="F69" t="s">
        <v>252</v>
      </c>
      <c r="G69" t="s">
        <v>253</v>
      </c>
      <c r="H69" t="s">
        <v>41</v>
      </c>
      <c r="I69">
        <v>32.5</v>
      </c>
      <c r="J69">
        <v>87</v>
      </c>
      <c r="K69">
        <f>IFERROR(VLOOKUP(C69,[1]智慧家庭產品價格表.含稅!C:S,17,FALSE),0)</f>
        <v>6</v>
      </c>
      <c r="L69">
        <v>13</v>
      </c>
      <c r="M69">
        <f t="shared" si="9"/>
        <v>105.09</v>
      </c>
      <c r="N69">
        <v>75</v>
      </c>
      <c r="O69">
        <f t="shared" si="10"/>
        <v>3490</v>
      </c>
      <c r="P69">
        <v>210</v>
      </c>
      <c r="Q69">
        <v>525</v>
      </c>
      <c r="R69" s="4">
        <v>3.25</v>
      </c>
      <c r="S69" s="2">
        <v>0.94099999999999995</v>
      </c>
      <c r="T69" s="2">
        <v>0.95199999999999996</v>
      </c>
      <c r="U69" s="2">
        <v>0.95199999999999996</v>
      </c>
      <c r="V69" s="2">
        <v>0.95199999999999996</v>
      </c>
      <c r="W69" s="2">
        <v>0.95199999999999996</v>
      </c>
      <c r="X69" s="2">
        <v>0.95199999999999996</v>
      </c>
      <c r="Y69">
        <f t="shared" si="11"/>
        <v>11343</v>
      </c>
      <c r="Z69">
        <f t="shared" si="12"/>
        <v>9073</v>
      </c>
      <c r="AA69">
        <f t="shared" si="13"/>
        <v>8099</v>
      </c>
      <c r="AB69">
        <f t="shared" si="14"/>
        <v>5399</v>
      </c>
      <c r="AC69">
        <f t="shared" si="15"/>
        <v>7019</v>
      </c>
      <c r="AD69">
        <f t="shared" si="16"/>
        <v>4319</v>
      </c>
      <c r="AE69">
        <f t="shared" si="17"/>
        <v>4859</v>
      </c>
      <c r="AF69">
        <v>0.85</v>
      </c>
      <c r="AG69">
        <v>0.75</v>
      </c>
      <c r="AH69">
        <v>0.5</v>
      </c>
      <c r="AI69">
        <v>0.65</v>
      </c>
      <c r="AJ69">
        <v>0.4</v>
      </c>
      <c r="AK69">
        <v>0.45</v>
      </c>
    </row>
    <row r="70" spans="1:38" x14ac:dyDescent="0.45">
      <c r="A70" t="s">
        <v>36</v>
      </c>
      <c r="B70" t="s">
        <v>37</v>
      </c>
      <c r="C70" t="s">
        <v>254</v>
      </c>
      <c r="D70" s="3" t="s">
        <v>950</v>
      </c>
      <c r="E70" t="s">
        <v>224</v>
      </c>
      <c r="G70" t="s">
        <v>255</v>
      </c>
      <c r="H70" t="s">
        <v>41</v>
      </c>
      <c r="I70">
        <v>32.5</v>
      </c>
      <c r="J70">
        <v>285.71428571428572</v>
      </c>
      <c r="K70">
        <f>IFERROR(VLOOKUP(C70,[1]智慧家庭產品價格表.含稅!C:S,17,FALSE),0)</f>
        <v>15</v>
      </c>
      <c r="L70">
        <v>13</v>
      </c>
      <c r="M70">
        <f t="shared" si="9"/>
        <v>339.81</v>
      </c>
      <c r="N70">
        <v>896</v>
      </c>
      <c r="O70">
        <f t="shared" si="10"/>
        <v>11940</v>
      </c>
      <c r="P70">
        <v>472</v>
      </c>
      <c r="Q70">
        <v>315</v>
      </c>
      <c r="R70" s="4">
        <v>3.2610000000000001</v>
      </c>
      <c r="S70" s="2">
        <v>0.94099999999999995</v>
      </c>
      <c r="T70" s="2">
        <v>0.95199999999999996</v>
      </c>
      <c r="U70" s="2">
        <v>0.95199999999999996</v>
      </c>
      <c r="V70" s="2">
        <v>0.95199999999999996</v>
      </c>
      <c r="W70" s="2">
        <v>0.95199999999999996</v>
      </c>
      <c r="X70" s="2">
        <v>0.95199999999999996</v>
      </c>
      <c r="Y70">
        <f t="shared" si="11"/>
        <v>38936</v>
      </c>
      <c r="Z70">
        <f t="shared" si="12"/>
        <v>31143</v>
      </c>
      <c r="AA70">
        <f t="shared" si="13"/>
        <v>27800</v>
      </c>
      <c r="AB70">
        <f t="shared" si="14"/>
        <v>18534</v>
      </c>
      <c r="AC70">
        <f t="shared" si="15"/>
        <v>24094</v>
      </c>
      <c r="AD70">
        <f t="shared" si="16"/>
        <v>14827</v>
      </c>
      <c r="AE70">
        <f t="shared" si="17"/>
        <v>16680</v>
      </c>
      <c r="AF70">
        <v>0.85</v>
      </c>
      <c r="AG70">
        <v>0.75</v>
      </c>
      <c r="AH70">
        <v>0.5</v>
      </c>
      <c r="AI70">
        <v>0.65</v>
      </c>
      <c r="AJ70">
        <v>0.4</v>
      </c>
      <c r="AK70">
        <v>0.45</v>
      </c>
    </row>
    <row r="71" spans="1:38" x14ac:dyDescent="0.45">
      <c r="A71" t="s">
        <v>36</v>
      </c>
      <c r="B71" t="s">
        <v>37</v>
      </c>
      <c r="C71" t="s">
        <v>256</v>
      </c>
      <c r="D71" t="s">
        <v>951</v>
      </c>
      <c r="E71" t="s">
        <v>81</v>
      </c>
      <c r="F71" t="s">
        <v>257</v>
      </c>
      <c r="G71" t="s">
        <v>258</v>
      </c>
      <c r="H71" t="s">
        <v>41</v>
      </c>
      <c r="I71">
        <v>32.5</v>
      </c>
      <c r="J71">
        <v>38</v>
      </c>
      <c r="K71">
        <f>IFERROR(VLOOKUP(C71,[1]智慧家庭產品價格表.含稅!C:S,17,FALSE),0)</f>
        <v>7</v>
      </c>
      <c r="L71">
        <v>13</v>
      </c>
      <c r="M71">
        <f t="shared" si="9"/>
        <v>50.85</v>
      </c>
      <c r="N71">
        <v>3000</v>
      </c>
      <c r="O71">
        <f t="shared" si="10"/>
        <v>4653</v>
      </c>
      <c r="P71">
        <v>1050</v>
      </c>
      <c r="Q71">
        <v>315</v>
      </c>
      <c r="R71" s="4">
        <v>3.3180000000000001</v>
      </c>
      <c r="S71" s="2">
        <v>0.94099999999999995</v>
      </c>
      <c r="T71" s="2">
        <v>0.95199999999999996</v>
      </c>
      <c r="U71" s="2">
        <v>0.95199999999999996</v>
      </c>
      <c r="V71" s="2">
        <v>0.95199999999999996</v>
      </c>
      <c r="W71" s="2">
        <v>0.95199999999999996</v>
      </c>
      <c r="X71" s="2">
        <v>0.95199999999999996</v>
      </c>
      <c r="Y71">
        <f t="shared" si="11"/>
        <v>15439</v>
      </c>
      <c r="Z71">
        <f t="shared" si="12"/>
        <v>12349</v>
      </c>
      <c r="AA71">
        <f t="shared" si="13"/>
        <v>11023</v>
      </c>
      <c r="AB71">
        <f t="shared" si="14"/>
        <v>7349</v>
      </c>
      <c r="AC71">
        <f t="shared" si="15"/>
        <v>9554</v>
      </c>
      <c r="AD71">
        <f t="shared" si="16"/>
        <v>5879</v>
      </c>
      <c r="AE71">
        <f t="shared" si="17"/>
        <v>6614</v>
      </c>
      <c r="AF71">
        <v>0.85</v>
      </c>
      <c r="AG71">
        <v>0.75</v>
      </c>
      <c r="AH71">
        <v>0.5</v>
      </c>
      <c r="AI71">
        <v>0.65</v>
      </c>
      <c r="AJ71">
        <v>0.4</v>
      </c>
      <c r="AK71">
        <v>0.45</v>
      </c>
      <c r="AL71" t="s">
        <v>259</v>
      </c>
    </row>
    <row r="72" spans="1:38" x14ac:dyDescent="0.45">
      <c r="A72" t="s">
        <v>36</v>
      </c>
      <c r="B72" t="s">
        <v>37</v>
      </c>
      <c r="C72" t="s">
        <v>260</v>
      </c>
      <c r="D72" t="s">
        <v>952</v>
      </c>
      <c r="E72" t="s">
        <v>81</v>
      </c>
      <c r="F72" t="s">
        <v>261</v>
      </c>
      <c r="H72" t="s">
        <v>70</v>
      </c>
      <c r="I72">
        <v>32.5</v>
      </c>
      <c r="J72">
        <v>0</v>
      </c>
      <c r="K72">
        <f>IFERROR(VLOOKUP(C72,[1]智慧家庭產品價格表.含稅!C:S,17,FALSE),0)</f>
        <v>0</v>
      </c>
      <c r="L72">
        <v>13</v>
      </c>
      <c r="M72">
        <f t="shared" si="9"/>
        <v>0</v>
      </c>
      <c r="N72">
        <v>0</v>
      </c>
      <c r="O72">
        <f t="shared" si="10"/>
        <v>0</v>
      </c>
      <c r="P72">
        <v>0</v>
      </c>
      <c r="Q72">
        <v>0</v>
      </c>
      <c r="R72" s="4">
        <v>1</v>
      </c>
      <c r="S72" s="2">
        <v>1.2350000000000001</v>
      </c>
      <c r="T72" s="2" t="e">
        <v>#DIV/0!</v>
      </c>
      <c r="U72" s="2" t="e">
        <v>#DIV/0!</v>
      </c>
      <c r="V72" s="2" t="e">
        <v>#DIV/0!</v>
      </c>
      <c r="W72" s="2" t="e">
        <v>#DIV/0!</v>
      </c>
      <c r="X72" s="2">
        <v>1.482</v>
      </c>
      <c r="Y72">
        <f t="shared" si="11"/>
        <v>0</v>
      </c>
      <c r="Z72">
        <f t="shared" si="12"/>
        <v>0</v>
      </c>
      <c r="AA72" t="e">
        <f t="shared" si="13"/>
        <v>#DIV/0!</v>
      </c>
      <c r="AB72" t="e">
        <f t="shared" si="14"/>
        <v>#DIV/0!</v>
      </c>
      <c r="AC72" t="e">
        <f t="shared" si="15"/>
        <v>#DIV/0!</v>
      </c>
      <c r="AD72" t="e">
        <f t="shared" si="16"/>
        <v>#DIV/0!</v>
      </c>
      <c r="AE72">
        <f t="shared" si="17"/>
        <v>0</v>
      </c>
      <c r="AF72">
        <v>0.85</v>
      </c>
      <c r="AG72">
        <v>0.75</v>
      </c>
      <c r="AH72">
        <v>0.5</v>
      </c>
      <c r="AI72">
        <v>0.65</v>
      </c>
      <c r="AJ72">
        <v>0.4</v>
      </c>
      <c r="AK72">
        <v>0.45</v>
      </c>
    </row>
    <row r="73" spans="1:38" x14ac:dyDescent="0.45">
      <c r="A73" t="s">
        <v>36</v>
      </c>
      <c r="B73" t="s">
        <v>37</v>
      </c>
      <c r="C73" t="s">
        <v>262</v>
      </c>
      <c r="D73" s="3" t="s">
        <v>953</v>
      </c>
      <c r="E73" t="s">
        <v>81</v>
      </c>
      <c r="F73" t="s">
        <v>263</v>
      </c>
      <c r="H73" t="s">
        <v>70</v>
      </c>
      <c r="I73">
        <v>32.5</v>
      </c>
      <c r="J73">
        <v>0</v>
      </c>
      <c r="K73">
        <f>IFERROR(VLOOKUP(C73,[1]智慧家庭產品價格表.含稅!C:S,17,FALSE),0)</f>
        <v>0</v>
      </c>
      <c r="L73">
        <v>13</v>
      </c>
      <c r="M73">
        <f t="shared" si="9"/>
        <v>0</v>
      </c>
      <c r="N73">
        <v>0</v>
      </c>
      <c r="O73">
        <f t="shared" si="10"/>
        <v>0</v>
      </c>
      <c r="P73">
        <v>0</v>
      </c>
      <c r="Q73">
        <v>0</v>
      </c>
      <c r="R73" s="4">
        <v>1</v>
      </c>
      <c r="S73" s="2">
        <v>1.2350000000000001</v>
      </c>
      <c r="T73" s="2" t="e">
        <v>#DIV/0!</v>
      </c>
      <c r="U73" s="2" t="e">
        <v>#DIV/0!</v>
      </c>
      <c r="V73" s="2" t="e">
        <v>#DIV/0!</v>
      </c>
      <c r="W73" s="2" t="e">
        <v>#DIV/0!</v>
      </c>
      <c r="X73" s="2">
        <v>1.4810000000000001</v>
      </c>
      <c r="Y73">
        <f t="shared" si="11"/>
        <v>0</v>
      </c>
      <c r="Z73">
        <f t="shared" si="12"/>
        <v>0</v>
      </c>
      <c r="AA73" t="e">
        <f t="shared" si="13"/>
        <v>#DIV/0!</v>
      </c>
      <c r="AB73" t="e">
        <f t="shared" si="14"/>
        <v>#DIV/0!</v>
      </c>
      <c r="AC73" t="e">
        <f t="shared" si="15"/>
        <v>#DIV/0!</v>
      </c>
      <c r="AD73" t="e">
        <f t="shared" si="16"/>
        <v>#DIV/0!</v>
      </c>
      <c r="AE73">
        <f t="shared" si="17"/>
        <v>0</v>
      </c>
      <c r="AF73">
        <v>0.85</v>
      </c>
      <c r="AG73">
        <v>0.75</v>
      </c>
      <c r="AH73">
        <v>0.5</v>
      </c>
      <c r="AI73">
        <v>0.65</v>
      </c>
      <c r="AJ73">
        <v>0.4</v>
      </c>
      <c r="AK73">
        <v>0.45</v>
      </c>
    </row>
    <row r="74" spans="1:38" x14ac:dyDescent="0.45">
      <c r="A74" t="s">
        <v>36</v>
      </c>
      <c r="B74" t="s">
        <v>37</v>
      </c>
      <c r="C74" t="s">
        <v>264</v>
      </c>
      <c r="D74" t="s">
        <v>954</v>
      </c>
      <c r="E74" t="s">
        <v>81</v>
      </c>
      <c r="F74" t="s">
        <v>265</v>
      </c>
      <c r="H74" t="s">
        <v>70</v>
      </c>
      <c r="I74">
        <v>32.5</v>
      </c>
      <c r="J74">
        <v>0</v>
      </c>
      <c r="K74">
        <f>IFERROR(VLOOKUP(C74,[1]智慧家庭產品價格表.含稅!C:S,17,FALSE),0)</f>
        <v>0</v>
      </c>
      <c r="L74">
        <v>13</v>
      </c>
      <c r="M74">
        <f t="shared" si="9"/>
        <v>0</v>
      </c>
      <c r="N74">
        <v>0</v>
      </c>
      <c r="O74">
        <f t="shared" si="10"/>
        <v>0</v>
      </c>
      <c r="P74">
        <v>0</v>
      </c>
      <c r="Q74">
        <v>0</v>
      </c>
      <c r="R74" s="4">
        <v>1</v>
      </c>
      <c r="S74" s="2">
        <v>1.2350000000000001</v>
      </c>
      <c r="T74" s="2" t="e">
        <v>#DIV/0!</v>
      </c>
      <c r="U74" s="2" t="e">
        <v>#DIV/0!</v>
      </c>
      <c r="V74" s="2" t="e">
        <v>#DIV/0!</v>
      </c>
      <c r="W74" s="2" t="e">
        <v>#DIV/0!</v>
      </c>
      <c r="X74" s="2">
        <v>1.4810000000000001</v>
      </c>
      <c r="Y74">
        <f t="shared" si="11"/>
        <v>0</v>
      </c>
      <c r="Z74">
        <f t="shared" si="12"/>
        <v>0</v>
      </c>
      <c r="AA74" t="e">
        <f t="shared" si="13"/>
        <v>#DIV/0!</v>
      </c>
      <c r="AB74" t="e">
        <f t="shared" si="14"/>
        <v>#DIV/0!</v>
      </c>
      <c r="AC74" t="e">
        <f t="shared" si="15"/>
        <v>#DIV/0!</v>
      </c>
      <c r="AD74" t="e">
        <f t="shared" si="16"/>
        <v>#DIV/0!</v>
      </c>
      <c r="AE74">
        <f t="shared" si="17"/>
        <v>0</v>
      </c>
      <c r="AF74">
        <v>0.85</v>
      </c>
      <c r="AG74">
        <v>0.75</v>
      </c>
      <c r="AH74">
        <v>0.5</v>
      </c>
      <c r="AI74">
        <v>0.65</v>
      </c>
      <c r="AJ74">
        <v>0.4</v>
      </c>
      <c r="AK74">
        <v>0.45</v>
      </c>
    </row>
    <row r="75" spans="1:38" x14ac:dyDescent="0.45">
      <c r="A75" t="s">
        <v>36</v>
      </c>
      <c r="B75" t="s">
        <v>37</v>
      </c>
      <c r="C75" t="s">
        <v>266</v>
      </c>
      <c r="D75" t="s">
        <v>955</v>
      </c>
      <c r="E75" t="s">
        <v>81</v>
      </c>
      <c r="F75" t="s">
        <v>267</v>
      </c>
      <c r="H75" t="s">
        <v>70</v>
      </c>
      <c r="I75">
        <v>32.5</v>
      </c>
      <c r="J75">
        <v>0</v>
      </c>
      <c r="K75">
        <f>IFERROR(VLOOKUP(C75,[1]智慧家庭產品價格表.含稅!C:S,17,FALSE),0)</f>
        <v>0</v>
      </c>
      <c r="L75">
        <v>13</v>
      </c>
      <c r="M75">
        <f t="shared" si="9"/>
        <v>0</v>
      </c>
      <c r="N75">
        <v>0</v>
      </c>
      <c r="O75">
        <f t="shared" si="10"/>
        <v>0</v>
      </c>
      <c r="P75">
        <v>0</v>
      </c>
      <c r="Q75">
        <v>0</v>
      </c>
      <c r="R75" s="4">
        <v>1</v>
      </c>
      <c r="S75" s="2">
        <v>1.2350000000000001</v>
      </c>
      <c r="T75" s="2" t="e">
        <v>#DIV/0!</v>
      </c>
      <c r="U75" s="2" t="e">
        <v>#DIV/0!</v>
      </c>
      <c r="V75" s="2" t="e">
        <v>#DIV/0!</v>
      </c>
      <c r="W75" s="2" t="e">
        <v>#DIV/0!</v>
      </c>
      <c r="X75" s="2">
        <v>1.4810000000000001</v>
      </c>
      <c r="Y75">
        <f t="shared" si="11"/>
        <v>0</v>
      </c>
      <c r="Z75">
        <f t="shared" si="12"/>
        <v>0</v>
      </c>
      <c r="AA75" t="e">
        <f t="shared" si="13"/>
        <v>#DIV/0!</v>
      </c>
      <c r="AB75" t="e">
        <f t="shared" si="14"/>
        <v>#DIV/0!</v>
      </c>
      <c r="AC75" t="e">
        <f t="shared" si="15"/>
        <v>#DIV/0!</v>
      </c>
      <c r="AD75" t="e">
        <f t="shared" si="16"/>
        <v>#DIV/0!</v>
      </c>
      <c r="AE75">
        <f t="shared" si="17"/>
        <v>0</v>
      </c>
      <c r="AF75">
        <v>0.85</v>
      </c>
      <c r="AG75">
        <v>0.75</v>
      </c>
      <c r="AH75">
        <v>0.5</v>
      </c>
      <c r="AI75">
        <v>0.65</v>
      </c>
      <c r="AJ75">
        <v>0.4</v>
      </c>
      <c r="AK75">
        <v>0.45</v>
      </c>
    </row>
    <row r="76" spans="1:38" x14ac:dyDescent="0.45">
      <c r="A76" t="s">
        <v>36</v>
      </c>
      <c r="B76" t="s">
        <v>37</v>
      </c>
      <c r="C76" t="s">
        <v>268</v>
      </c>
      <c r="D76" t="s">
        <v>956</v>
      </c>
      <c r="E76" t="s">
        <v>81</v>
      </c>
      <c r="F76" t="s">
        <v>269</v>
      </c>
      <c r="H76" t="s">
        <v>70</v>
      </c>
      <c r="I76">
        <v>32.5</v>
      </c>
      <c r="J76">
        <v>0</v>
      </c>
      <c r="K76">
        <f>IFERROR(VLOOKUP(C76,[1]智慧家庭產品價格表.含稅!C:S,17,FALSE),0)</f>
        <v>0</v>
      </c>
      <c r="L76">
        <v>13</v>
      </c>
      <c r="M76">
        <f t="shared" si="9"/>
        <v>0</v>
      </c>
      <c r="N76">
        <v>0</v>
      </c>
      <c r="O76">
        <f t="shared" si="10"/>
        <v>0</v>
      </c>
      <c r="P76">
        <v>0</v>
      </c>
      <c r="Q76">
        <v>0</v>
      </c>
      <c r="R76" s="4">
        <v>1</v>
      </c>
      <c r="S76" s="2">
        <v>1.2350000000000001</v>
      </c>
      <c r="T76" s="2" t="e">
        <v>#DIV/0!</v>
      </c>
      <c r="U76" s="2" t="e">
        <v>#DIV/0!</v>
      </c>
      <c r="V76" s="2" t="e">
        <v>#DIV/0!</v>
      </c>
      <c r="W76" s="2" t="e">
        <v>#DIV/0!</v>
      </c>
      <c r="X76" s="2">
        <v>1.4810000000000001</v>
      </c>
      <c r="Y76">
        <f t="shared" si="11"/>
        <v>0</v>
      </c>
      <c r="Z76">
        <f t="shared" si="12"/>
        <v>0</v>
      </c>
      <c r="AA76" t="e">
        <f t="shared" si="13"/>
        <v>#DIV/0!</v>
      </c>
      <c r="AB76" t="e">
        <f t="shared" si="14"/>
        <v>#DIV/0!</v>
      </c>
      <c r="AC76" t="e">
        <f t="shared" si="15"/>
        <v>#DIV/0!</v>
      </c>
      <c r="AD76" t="e">
        <f t="shared" si="16"/>
        <v>#DIV/0!</v>
      </c>
      <c r="AE76">
        <f t="shared" si="17"/>
        <v>0</v>
      </c>
      <c r="AF76">
        <v>0.85</v>
      </c>
      <c r="AG76">
        <v>0.75</v>
      </c>
      <c r="AH76">
        <v>0.5</v>
      </c>
      <c r="AI76">
        <v>0.65</v>
      </c>
      <c r="AJ76">
        <v>0.4</v>
      </c>
      <c r="AK76">
        <v>0.45</v>
      </c>
    </row>
    <row r="77" spans="1:38" ht="30" x14ac:dyDescent="0.45">
      <c r="A77" t="s">
        <v>270</v>
      </c>
      <c r="B77" t="s">
        <v>37</v>
      </c>
      <c r="C77" t="s">
        <v>271</v>
      </c>
      <c r="D77" s="3" t="s">
        <v>957</v>
      </c>
      <c r="E77" t="s">
        <v>199</v>
      </c>
      <c r="F77" t="s">
        <v>272</v>
      </c>
      <c r="G77" t="s">
        <v>273</v>
      </c>
      <c r="H77" t="s">
        <v>41</v>
      </c>
      <c r="I77">
        <v>32.5</v>
      </c>
      <c r="J77">
        <v>110</v>
      </c>
      <c r="K77">
        <f>IFERROR(VLOOKUP(C77,[1]智慧家庭產品價格表.含稅!C:S,17,FALSE),0)</f>
        <v>6</v>
      </c>
      <c r="L77">
        <v>13</v>
      </c>
      <c r="M77">
        <f t="shared" si="9"/>
        <v>131.08000000000001</v>
      </c>
      <c r="N77">
        <v>75</v>
      </c>
      <c r="O77">
        <f t="shared" si="10"/>
        <v>4335</v>
      </c>
      <c r="P77">
        <v>210</v>
      </c>
      <c r="Q77">
        <v>525</v>
      </c>
      <c r="R77" s="4">
        <v>3.5790000000000002</v>
      </c>
      <c r="S77" s="2">
        <v>0.94099999999999995</v>
      </c>
      <c r="T77" s="2">
        <v>0.95199999999999996</v>
      </c>
      <c r="U77" s="2">
        <v>0.95199999999999996</v>
      </c>
      <c r="V77" s="2">
        <v>0.95199999999999996</v>
      </c>
      <c r="W77" s="2">
        <v>0.95199999999999996</v>
      </c>
      <c r="X77" s="2">
        <v>0.95199999999999996</v>
      </c>
      <c r="Y77">
        <f t="shared" si="11"/>
        <v>15515</v>
      </c>
      <c r="Z77">
        <f t="shared" si="12"/>
        <v>12410</v>
      </c>
      <c r="AA77">
        <f t="shared" si="13"/>
        <v>11078</v>
      </c>
      <c r="AB77">
        <f t="shared" si="14"/>
        <v>7385</v>
      </c>
      <c r="AC77">
        <f t="shared" si="15"/>
        <v>9601</v>
      </c>
      <c r="AD77">
        <f t="shared" si="16"/>
        <v>5908</v>
      </c>
      <c r="AE77">
        <f t="shared" si="17"/>
        <v>6647</v>
      </c>
      <c r="AF77">
        <v>0.85</v>
      </c>
      <c r="AG77">
        <v>0.75</v>
      </c>
      <c r="AH77">
        <v>0.5</v>
      </c>
      <c r="AI77">
        <v>0.65</v>
      </c>
      <c r="AJ77">
        <v>0.4</v>
      </c>
      <c r="AK77">
        <v>0.45</v>
      </c>
    </row>
    <row r="78" spans="1:38" x14ac:dyDescent="0.45">
      <c r="A78" t="s">
        <v>270</v>
      </c>
      <c r="B78" t="s">
        <v>37</v>
      </c>
      <c r="C78" t="s">
        <v>274</v>
      </c>
      <c r="D78" t="s">
        <v>275</v>
      </c>
      <c r="E78" t="s">
        <v>38</v>
      </c>
      <c r="F78" t="s">
        <v>276</v>
      </c>
      <c r="G78" t="s">
        <v>277</v>
      </c>
      <c r="H78" t="s">
        <v>41</v>
      </c>
      <c r="I78">
        <v>32.5</v>
      </c>
      <c r="J78" s="1">
        <v>41.142857142857103</v>
      </c>
      <c r="K78">
        <f>IFERROR(VLOOKUP(C78,[1]智慧家庭產品價格表.含稅!C:S,17,FALSE),0)</f>
        <v>2</v>
      </c>
      <c r="L78">
        <v>13</v>
      </c>
      <c r="M78">
        <f t="shared" si="9"/>
        <v>48.75</v>
      </c>
      <c r="N78">
        <v>100</v>
      </c>
      <c r="O78">
        <f t="shared" si="10"/>
        <v>1684</v>
      </c>
      <c r="P78">
        <v>262</v>
      </c>
      <c r="Q78">
        <v>714</v>
      </c>
      <c r="R78" s="4">
        <v>5.0270000000000001</v>
      </c>
      <c r="S78" s="2">
        <v>0.94099999999999995</v>
      </c>
      <c r="T78" s="2">
        <v>0.95199999999999996</v>
      </c>
      <c r="U78" s="2">
        <v>0.95199999999999996</v>
      </c>
      <c r="V78" s="2">
        <v>0.95199999999999996</v>
      </c>
      <c r="W78" s="2">
        <v>0.95199999999999996</v>
      </c>
      <c r="X78" s="2">
        <v>0.95199999999999996</v>
      </c>
      <c r="Y78">
        <f t="shared" si="11"/>
        <v>8465</v>
      </c>
      <c r="Z78">
        <f t="shared" si="12"/>
        <v>6771</v>
      </c>
      <c r="AA78">
        <f t="shared" si="13"/>
        <v>6044</v>
      </c>
      <c r="AB78">
        <f t="shared" si="14"/>
        <v>4029</v>
      </c>
      <c r="AC78">
        <f t="shared" si="15"/>
        <v>5238</v>
      </c>
      <c r="AD78">
        <f t="shared" si="16"/>
        <v>3223</v>
      </c>
      <c r="AE78">
        <f t="shared" si="17"/>
        <v>3626</v>
      </c>
      <c r="AF78">
        <v>0.85</v>
      </c>
      <c r="AG78">
        <v>0.75</v>
      </c>
      <c r="AH78">
        <v>0.5</v>
      </c>
      <c r="AI78">
        <v>0.65</v>
      </c>
      <c r="AJ78">
        <v>0.4</v>
      </c>
      <c r="AK78">
        <v>0.45</v>
      </c>
    </row>
    <row r="79" spans="1:38" x14ac:dyDescent="0.45">
      <c r="A79" t="s">
        <v>270</v>
      </c>
      <c r="B79" t="s">
        <v>37</v>
      </c>
      <c r="C79" t="s">
        <v>278</v>
      </c>
      <c r="D79" t="s">
        <v>279</v>
      </c>
      <c r="E79" t="s">
        <v>199</v>
      </c>
      <c r="F79" t="s">
        <v>280</v>
      </c>
      <c r="G79" t="s">
        <v>281</v>
      </c>
      <c r="H79" t="s">
        <v>41</v>
      </c>
      <c r="I79">
        <v>32.5</v>
      </c>
      <c r="J79">
        <v>112</v>
      </c>
      <c r="K79">
        <f>IFERROR(VLOOKUP(C79,[1]智慧家庭產品價格表.含稅!C:S,17,FALSE),0)</f>
        <v>6</v>
      </c>
      <c r="L79">
        <v>13</v>
      </c>
      <c r="M79">
        <f t="shared" si="9"/>
        <v>133.34</v>
      </c>
      <c r="N79">
        <v>75</v>
      </c>
      <c r="O79">
        <f t="shared" si="10"/>
        <v>4409</v>
      </c>
      <c r="P79">
        <v>210</v>
      </c>
      <c r="Q79">
        <v>525</v>
      </c>
      <c r="R79" s="4">
        <v>3.3620000000000001</v>
      </c>
      <c r="S79" s="2">
        <v>0.94099999999999995</v>
      </c>
      <c r="T79" s="2">
        <v>0.95199999999999996</v>
      </c>
      <c r="U79" s="2">
        <v>0.95199999999999996</v>
      </c>
      <c r="V79" s="2">
        <v>0.95199999999999996</v>
      </c>
      <c r="W79" s="2">
        <v>0.95199999999999996</v>
      </c>
      <c r="X79" s="2">
        <v>0.95199999999999996</v>
      </c>
      <c r="Y79">
        <f t="shared" si="11"/>
        <v>14823</v>
      </c>
      <c r="Z79">
        <f t="shared" si="12"/>
        <v>11856</v>
      </c>
      <c r="AA79">
        <f t="shared" si="13"/>
        <v>10584</v>
      </c>
      <c r="AB79">
        <f t="shared" si="14"/>
        <v>7056</v>
      </c>
      <c r="AC79">
        <f t="shared" si="15"/>
        <v>9172</v>
      </c>
      <c r="AD79">
        <f t="shared" si="16"/>
        <v>5645</v>
      </c>
      <c r="AE79">
        <f t="shared" si="17"/>
        <v>6350</v>
      </c>
      <c r="AF79">
        <v>0.85</v>
      </c>
      <c r="AG79">
        <v>0.75</v>
      </c>
      <c r="AH79">
        <v>0.5</v>
      </c>
      <c r="AI79">
        <v>0.65</v>
      </c>
      <c r="AJ79">
        <v>0.4</v>
      </c>
      <c r="AK79">
        <v>0.45</v>
      </c>
      <c r="AL79" t="s">
        <v>282</v>
      </c>
    </row>
    <row r="80" spans="1:38" x14ac:dyDescent="0.45">
      <c r="A80" t="s">
        <v>270</v>
      </c>
      <c r="B80" t="s">
        <v>37</v>
      </c>
      <c r="C80" t="s">
        <v>283</v>
      </c>
      <c r="D80" t="s">
        <v>284</v>
      </c>
      <c r="E80" t="s">
        <v>199</v>
      </c>
      <c r="F80" t="s">
        <v>285</v>
      </c>
      <c r="G80" t="s">
        <v>286</v>
      </c>
      <c r="H80" t="s">
        <v>41</v>
      </c>
      <c r="I80">
        <v>32.5</v>
      </c>
      <c r="J80">
        <v>107</v>
      </c>
      <c r="K80">
        <v>2</v>
      </c>
      <c r="L80">
        <v>13</v>
      </c>
      <c r="M80">
        <f t="shared" si="9"/>
        <v>123.17</v>
      </c>
      <c r="N80">
        <v>75</v>
      </c>
      <c r="O80">
        <f t="shared" si="10"/>
        <v>4078</v>
      </c>
      <c r="P80">
        <v>210</v>
      </c>
      <c r="Q80">
        <v>525</v>
      </c>
      <c r="R80" s="4">
        <v>3.3610000000000002</v>
      </c>
      <c r="S80" s="2">
        <v>0.94099999999999995</v>
      </c>
      <c r="T80" s="2">
        <v>0.95199999999999996</v>
      </c>
      <c r="U80" s="2">
        <v>0.95199999999999996</v>
      </c>
      <c r="V80" s="2">
        <v>0.95199999999999996</v>
      </c>
      <c r="W80" s="2">
        <v>0.95199999999999996</v>
      </c>
      <c r="X80" s="2">
        <v>0.95199999999999996</v>
      </c>
      <c r="Y80">
        <f t="shared" si="11"/>
        <v>13706</v>
      </c>
      <c r="Z80">
        <f t="shared" si="12"/>
        <v>10963</v>
      </c>
      <c r="AA80">
        <f t="shared" si="13"/>
        <v>9786</v>
      </c>
      <c r="AB80">
        <f t="shared" si="14"/>
        <v>6524</v>
      </c>
      <c r="AC80">
        <f t="shared" si="15"/>
        <v>8481</v>
      </c>
      <c r="AD80">
        <f t="shared" si="16"/>
        <v>5219</v>
      </c>
      <c r="AE80">
        <f t="shared" si="17"/>
        <v>5872</v>
      </c>
      <c r="AF80">
        <v>0.85</v>
      </c>
      <c r="AG80">
        <v>0.75</v>
      </c>
      <c r="AH80">
        <v>0.5</v>
      </c>
      <c r="AI80">
        <v>0.65</v>
      </c>
      <c r="AJ80">
        <v>0.4</v>
      </c>
      <c r="AK80">
        <v>0.45</v>
      </c>
      <c r="AL80" t="s">
        <v>282</v>
      </c>
    </row>
    <row r="81" spans="1:38" x14ac:dyDescent="0.45">
      <c r="A81" t="s">
        <v>270</v>
      </c>
      <c r="B81" t="s">
        <v>37</v>
      </c>
      <c r="C81" t="s">
        <v>287</v>
      </c>
      <c r="D81" t="s">
        <v>288</v>
      </c>
      <c r="E81" t="s">
        <v>199</v>
      </c>
      <c r="F81" t="s">
        <v>289</v>
      </c>
      <c r="G81" t="s">
        <v>290</v>
      </c>
      <c r="H81" t="s">
        <v>41</v>
      </c>
      <c r="I81">
        <v>32.5</v>
      </c>
      <c r="J81">
        <v>440</v>
      </c>
      <c r="K81">
        <f>IFERROR(VLOOKUP(C81,[1]智慧家庭產品價格表.含稅!C:S,17,FALSE),0)</f>
        <v>6</v>
      </c>
      <c r="L81">
        <v>13</v>
      </c>
      <c r="M81">
        <f t="shared" si="9"/>
        <v>503.98</v>
      </c>
      <c r="N81">
        <v>77</v>
      </c>
      <c r="O81">
        <f t="shared" si="10"/>
        <v>16456</v>
      </c>
      <c r="P81">
        <v>210</v>
      </c>
      <c r="Q81">
        <v>525</v>
      </c>
      <c r="R81" s="4">
        <v>2.6160000000000001</v>
      </c>
      <c r="S81" s="2">
        <v>1.117</v>
      </c>
      <c r="T81" s="2">
        <v>1.143</v>
      </c>
      <c r="U81" s="2">
        <v>1.238</v>
      </c>
      <c r="V81" s="2">
        <v>1.1719999999999999</v>
      </c>
      <c r="W81" s="2">
        <v>1.3089999999999999</v>
      </c>
      <c r="X81" s="2">
        <v>1.2689999999999999</v>
      </c>
      <c r="Y81">
        <f t="shared" si="11"/>
        <v>43049</v>
      </c>
      <c r="Z81">
        <f t="shared" si="12"/>
        <v>40873</v>
      </c>
      <c r="AA81">
        <f t="shared" si="13"/>
        <v>36904</v>
      </c>
      <c r="AB81">
        <f t="shared" si="14"/>
        <v>26647</v>
      </c>
      <c r="AC81">
        <f t="shared" si="15"/>
        <v>32795</v>
      </c>
      <c r="AD81">
        <f t="shared" si="16"/>
        <v>22540</v>
      </c>
      <c r="AE81">
        <f t="shared" si="17"/>
        <v>24583</v>
      </c>
      <c r="AF81">
        <v>0.85</v>
      </c>
      <c r="AG81">
        <v>0.75</v>
      </c>
      <c r="AH81">
        <v>0.5</v>
      </c>
      <c r="AI81">
        <v>0.65</v>
      </c>
      <c r="AJ81">
        <v>0.4</v>
      </c>
      <c r="AK81">
        <v>0.45</v>
      </c>
      <c r="AL81" t="s">
        <v>282</v>
      </c>
    </row>
    <row r="82" spans="1:38" x14ac:dyDescent="0.45">
      <c r="A82" t="s">
        <v>270</v>
      </c>
      <c r="B82" t="s">
        <v>37</v>
      </c>
      <c r="C82" t="s">
        <v>291</v>
      </c>
      <c r="D82" t="s">
        <v>292</v>
      </c>
      <c r="E82" t="s">
        <v>199</v>
      </c>
      <c r="F82" t="s">
        <v>293</v>
      </c>
      <c r="G82" t="s">
        <v>294</v>
      </c>
      <c r="H82" t="s">
        <v>41</v>
      </c>
      <c r="I82">
        <v>32.5</v>
      </c>
      <c r="J82">
        <v>65</v>
      </c>
      <c r="K82">
        <f>IFERROR(VLOOKUP(C82,[1]智慧家庭產品價格表.含稅!C:S,17,FALSE),0)</f>
        <v>6</v>
      </c>
      <c r="L82">
        <v>13</v>
      </c>
      <c r="M82">
        <f t="shared" si="9"/>
        <v>80.23</v>
      </c>
      <c r="N82">
        <v>75</v>
      </c>
      <c r="O82">
        <f t="shared" si="10"/>
        <v>2682</v>
      </c>
      <c r="P82">
        <v>210</v>
      </c>
      <c r="Q82">
        <v>525</v>
      </c>
      <c r="R82" s="4">
        <v>3.605</v>
      </c>
      <c r="S82" s="2">
        <v>0.94099999999999995</v>
      </c>
      <c r="T82" s="2">
        <v>0.95199999999999996</v>
      </c>
      <c r="U82" s="2">
        <v>0.95199999999999996</v>
      </c>
      <c r="V82" s="2">
        <v>0.95199999999999996</v>
      </c>
      <c r="W82" s="2">
        <v>0.95199999999999996</v>
      </c>
      <c r="X82" s="2">
        <v>0.95199999999999996</v>
      </c>
      <c r="Y82">
        <f t="shared" si="11"/>
        <v>9669</v>
      </c>
      <c r="Z82">
        <f t="shared" si="12"/>
        <v>7734</v>
      </c>
      <c r="AA82">
        <f t="shared" si="13"/>
        <v>6904</v>
      </c>
      <c r="AB82">
        <f t="shared" si="14"/>
        <v>4602</v>
      </c>
      <c r="AC82">
        <f t="shared" si="15"/>
        <v>5983</v>
      </c>
      <c r="AD82">
        <f t="shared" si="16"/>
        <v>3682</v>
      </c>
      <c r="AE82">
        <f t="shared" si="17"/>
        <v>4142</v>
      </c>
      <c r="AF82">
        <v>0.85</v>
      </c>
      <c r="AG82">
        <v>0.75</v>
      </c>
      <c r="AH82">
        <v>0.5</v>
      </c>
      <c r="AI82">
        <v>0.65</v>
      </c>
      <c r="AJ82">
        <v>0.4</v>
      </c>
      <c r="AK82">
        <v>0.45</v>
      </c>
    </row>
    <row r="83" spans="1:38" x14ac:dyDescent="0.45">
      <c r="A83" t="s">
        <v>270</v>
      </c>
      <c r="B83" t="s">
        <v>37</v>
      </c>
      <c r="C83" t="s">
        <v>295</v>
      </c>
      <c r="D83" t="s">
        <v>296</v>
      </c>
      <c r="E83" t="s">
        <v>199</v>
      </c>
      <c r="F83" t="s">
        <v>297</v>
      </c>
      <c r="G83" t="s">
        <v>298</v>
      </c>
      <c r="H83" t="s">
        <v>41</v>
      </c>
      <c r="I83">
        <v>32.5</v>
      </c>
      <c r="J83">
        <v>239</v>
      </c>
      <c r="K83">
        <f>IFERROR(VLOOKUP(C83,[1]智慧家庭產品價格表.含稅!C:S,17,FALSE),0)</f>
        <v>6</v>
      </c>
      <c r="L83">
        <v>13</v>
      </c>
      <c r="M83">
        <f t="shared" si="9"/>
        <v>276.85000000000002</v>
      </c>
      <c r="N83">
        <v>76</v>
      </c>
      <c r="O83">
        <f t="shared" si="10"/>
        <v>9074</v>
      </c>
      <c r="P83">
        <v>210</v>
      </c>
      <c r="Q83">
        <v>525</v>
      </c>
      <c r="R83" s="4">
        <v>3.5630000000000002</v>
      </c>
      <c r="S83" s="2">
        <v>0.94099999999999995</v>
      </c>
      <c r="T83" s="2">
        <v>0.95199999999999996</v>
      </c>
      <c r="U83" s="2">
        <v>0.95199999999999996</v>
      </c>
      <c r="V83" s="2">
        <v>0.95199999999999996</v>
      </c>
      <c r="W83" s="2">
        <v>0.95199999999999996</v>
      </c>
      <c r="X83" s="2">
        <v>0.95199999999999996</v>
      </c>
      <c r="Y83">
        <f t="shared" si="11"/>
        <v>32331</v>
      </c>
      <c r="Z83">
        <f t="shared" si="12"/>
        <v>25860</v>
      </c>
      <c r="AA83">
        <f t="shared" si="13"/>
        <v>23084</v>
      </c>
      <c r="AB83">
        <f t="shared" si="14"/>
        <v>15390</v>
      </c>
      <c r="AC83">
        <f t="shared" si="15"/>
        <v>20006</v>
      </c>
      <c r="AD83">
        <f t="shared" si="16"/>
        <v>12312</v>
      </c>
      <c r="AE83">
        <f t="shared" si="17"/>
        <v>13851</v>
      </c>
      <c r="AF83">
        <v>0.85</v>
      </c>
      <c r="AG83">
        <v>0.75</v>
      </c>
      <c r="AH83">
        <v>0.5</v>
      </c>
      <c r="AI83">
        <v>0.65</v>
      </c>
      <c r="AJ83">
        <v>0.4</v>
      </c>
      <c r="AK83">
        <v>0.45</v>
      </c>
      <c r="AL83" t="s">
        <v>282</v>
      </c>
    </row>
    <row r="84" spans="1:38" x14ac:dyDescent="0.45">
      <c r="A84" t="s">
        <v>270</v>
      </c>
      <c r="B84" t="s">
        <v>37</v>
      </c>
      <c r="C84" t="s">
        <v>299</v>
      </c>
      <c r="D84" t="s">
        <v>300</v>
      </c>
      <c r="E84" t="s">
        <v>199</v>
      </c>
      <c r="F84" t="s">
        <v>301</v>
      </c>
      <c r="G84" t="s">
        <v>302</v>
      </c>
      <c r="H84" t="s">
        <v>41</v>
      </c>
      <c r="I84">
        <v>32.5</v>
      </c>
      <c r="J84">
        <v>18</v>
      </c>
      <c r="K84">
        <f>IFERROR(VLOOKUP(C84,[1]智慧家庭產品價格表.含稅!C:S,17,FALSE),0)</f>
        <v>2</v>
      </c>
      <c r="L84">
        <v>13</v>
      </c>
      <c r="M84">
        <f t="shared" si="9"/>
        <v>22.6</v>
      </c>
      <c r="N84">
        <v>100</v>
      </c>
      <c r="O84">
        <f>ROUND(M84*I84+N84,0)</f>
        <v>835</v>
      </c>
      <c r="P84">
        <v>52</v>
      </c>
      <c r="Q84">
        <v>525</v>
      </c>
      <c r="R84" s="4">
        <v>4.53</v>
      </c>
      <c r="S84" s="2">
        <v>0.94099999999999995</v>
      </c>
      <c r="T84" s="2">
        <v>0.95199999999999996</v>
      </c>
      <c r="U84" s="2">
        <v>0.95199999999999996</v>
      </c>
      <c r="V84" s="2">
        <v>0.95199999999999996</v>
      </c>
      <c r="W84" s="2">
        <v>0.95199999999999996</v>
      </c>
      <c r="X84" s="2">
        <v>0.95199999999999996</v>
      </c>
      <c r="Y84">
        <f t="shared" si="11"/>
        <v>3783</v>
      </c>
      <c r="Z84">
        <f t="shared" si="12"/>
        <v>3026</v>
      </c>
      <c r="AA84">
        <f t="shared" si="13"/>
        <v>2701</v>
      </c>
      <c r="AB84">
        <f t="shared" si="14"/>
        <v>1801</v>
      </c>
      <c r="AC84">
        <f t="shared" si="15"/>
        <v>2341</v>
      </c>
      <c r="AD84">
        <f t="shared" si="16"/>
        <v>1441</v>
      </c>
      <c r="AE84">
        <f t="shared" si="17"/>
        <v>1621</v>
      </c>
      <c r="AF84">
        <v>0.85</v>
      </c>
      <c r="AG84">
        <v>0.75</v>
      </c>
      <c r="AH84">
        <v>0.5</v>
      </c>
      <c r="AI84">
        <v>0.65</v>
      </c>
      <c r="AJ84">
        <v>0.4</v>
      </c>
      <c r="AK84">
        <v>0.45</v>
      </c>
      <c r="AL84" t="s">
        <v>303</v>
      </c>
    </row>
    <row r="85" spans="1:38" x14ac:dyDescent="0.45">
      <c r="A85" t="s">
        <v>304</v>
      </c>
      <c r="B85" t="s">
        <v>37</v>
      </c>
      <c r="C85" t="s">
        <v>305</v>
      </c>
      <c r="D85" t="s">
        <v>306</v>
      </c>
      <c r="E85" t="s">
        <v>38</v>
      </c>
      <c r="F85" t="s">
        <v>307</v>
      </c>
      <c r="G85" t="s">
        <v>308</v>
      </c>
      <c r="H85" t="s">
        <v>41</v>
      </c>
      <c r="I85">
        <v>32.5</v>
      </c>
      <c r="J85">
        <v>44</v>
      </c>
      <c r="K85">
        <f>IFERROR(VLOOKUP(C85,[1]智慧家庭產品價格表.含稅!C:S,17,FALSE),0)</f>
        <v>1</v>
      </c>
      <c r="L85">
        <v>13</v>
      </c>
      <c r="M85">
        <f t="shared" si="9"/>
        <v>50.85</v>
      </c>
      <c r="N85">
        <v>20</v>
      </c>
      <c r="O85">
        <f t="shared" si="10"/>
        <v>1673</v>
      </c>
      <c r="P85">
        <v>158</v>
      </c>
      <c r="Q85">
        <v>315</v>
      </c>
      <c r="R85" s="4">
        <v>2.7090000000000001</v>
      </c>
      <c r="S85" s="2">
        <v>1.0589999999999999</v>
      </c>
      <c r="T85" s="2">
        <v>1.079</v>
      </c>
      <c r="U85" s="2">
        <v>1.143</v>
      </c>
      <c r="V85" s="2">
        <v>1.0980000000000001</v>
      </c>
      <c r="W85" s="2">
        <v>1.19</v>
      </c>
      <c r="X85" s="2">
        <v>1.1639999999999999</v>
      </c>
      <c r="Y85">
        <f t="shared" si="11"/>
        <v>4532</v>
      </c>
      <c r="Z85">
        <f t="shared" si="12"/>
        <v>4079</v>
      </c>
      <c r="AA85">
        <f t="shared" si="13"/>
        <v>3668</v>
      </c>
      <c r="AB85">
        <f t="shared" si="14"/>
        <v>2590</v>
      </c>
      <c r="AC85">
        <f t="shared" si="15"/>
        <v>3234</v>
      </c>
      <c r="AD85">
        <f t="shared" si="16"/>
        <v>2157</v>
      </c>
      <c r="AE85">
        <f t="shared" si="17"/>
        <v>2374</v>
      </c>
      <c r="AF85">
        <v>0.85</v>
      </c>
      <c r="AG85">
        <v>0.75</v>
      </c>
      <c r="AH85">
        <v>0.5</v>
      </c>
      <c r="AI85">
        <v>0.65</v>
      </c>
      <c r="AJ85">
        <v>0.4</v>
      </c>
      <c r="AK85">
        <v>0.45</v>
      </c>
      <c r="AL85" t="s">
        <v>309</v>
      </c>
    </row>
    <row r="86" spans="1:38" x14ac:dyDescent="0.45">
      <c r="A86" t="s">
        <v>304</v>
      </c>
      <c r="B86" t="s">
        <v>37</v>
      </c>
      <c r="C86" t="s">
        <v>310</v>
      </c>
      <c r="D86" t="s">
        <v>311</v>
      </c>
      <c r="E86" t="s">
        <v>38</v>
      </c>
      <c r="F86" t="s">
        <v>312</v>
      </c>
      <c r="G86" t="s">
        <v>313</v>
      </c>
      <c r="H86" t="s">
        <v>41</v>
      </c>
      <c r="I86">
        <v>32.5</v>
      </c>
      <c r="J86">
        <v>12</v>
      </c>
      <c r="K86">
        <f>IFERROR(VLOOKUP(C86,[1]智慧家庭產品價格表.含稅!C:S,17,FALSE),0)</f>
        <v>1</v>
      </c>
      <c r="L86">
        <v>13</v>
      </c>
      <c r="M86">
        <f t="shared" si="9"/>
        <v>14.69</v>
      </c>
      <c r="N86">
        <v>100</v>
      </c>
      <c r="O86">
        <f t="shared" si="10"/>
        <v>577</v>
      </c>
      <c r="P86">
        <v>52</v>
      </c>
      <c r="Q86">
        <v>315</v>
      </c>
      <c r="R86" s="4">
        <v>3.387</v>
      </c>
      <c r="S86" s="2">
        <v>1</v>
      </c>
      <c r="T86" s="2">
        <v>1.016</v>
      </c>
      <c r="U86" s="2">
        <v>1.048</v>
      </c>
      <c r="V86" s="2">
        <v>1.026</v>
      </c>
      <c r="W86" s="2">
        <v>1.071</v>
      </c>
      <c r="X86" s="2">
        <v>1.0580000000000001</v>
      </c>
      <c r="Y86">
        <f t="shared" si="11"/>
        <v>1954</v>
      </c>
      <c r="Z86">
        <f t="shared" si="12"/>
        <v>1661</v>
      </c>
      <c r="AA86">
        <f t="shared" si="13"/>
        <v>1489</v>
      </c>
      <c r="AB86">
        <f t="shared" si="14"/>
        <v>1024</v>
      </c>
      <c r="AC86">
        <f t="shared" si="15"/>
        <v>1303</v>
      </c>
      <c r="AD86">
        <f t="shared" si="16"/>
        <v>837</v>
      </c>
      <c r="AE86">
        <f t="shared" si="17"/>
        <v>930</v>
      </c>
      <c r="AF86">
        <v>0.85</v>
      </c>
      <c r="AG86">
        <v>0.75</v>
      </c>
      <c r="AH86">
        <v>0.5</v>
      </c>
      <c r="AI86">
        <v>0.65</v>
      </c>
      <c r="AJ86">
        <v>0.4</v>
      </c>
      <c r="AK86">
        <v>0.45</v>
      </c>
    </row>
    <row r="87" spans="1:38" x14ac:dyDescent="0.45">
      <c r="A87" t="s">
        <v>304</v>
      </c>
      <c r="B87" t="s">
        <v>37</v>
      </c>
      <c r="C87" t="s">
        <v>314</v>
      </c>
      <c r="D87" t="s">
        <v>315</v>
      </c>
      <c r="E87" t="s">
        <v>38</v>
      </c>
      <c r="F87" t="s">
        <v>316</v>
      </c>
      <c r="G87" t="s">
        <v>317</v>
      </c>
      <c r="H87" t="s">
        <v>41</v>
      </c>
      <c r="I87">
        <v>32.5</v>
      </c>
      <c r="J87">
        <v>22</v>
      </c>
      <c r="K87">
        <f>IFERROR(VLOOKUP(C87,[1]智慧家庭產品價格表.含稅!C:S,17,FALSE),0)</f>
        <v>1</v>
      </c>
      <c r="L87">
        <v>13</v>
      </c>
      <c r="M87">
        <f t="shared" si="9"/>
        <v>25.99</v>
      </c>
      <c r="N87">
        <v>100</v>
      </c>
      <c r="O87">
        <f t="shared" si="10"/>
        <v>945</v>
      </c>
      <c r="P87">
        <v>52</v>
      </c>
      <c r="Q87">
        <v>315</v>
      </c>
      <c r="R87" s="4">
        <v>2.9380000000000002</v>
      </c>
      <c r="S87" s="2">
        <v>0.94099999999999995</v>
      </c>
      <c r="T87" s="2">
        <v>0.95199999999999996</v>
      </c>
      <c r="U87" s="2">
        <v>0.95199999999999996</v>
      </c>
      <c r="V87" s="2">
        <v>0.95299999999999996</v>
      </c>
      <c r="W87" s="2">
        <v>0.95299999999999996</v>
      </c>
      <c r="X87" s="2">
        <v>0.95299999999999996</v>
      </c>
      <c r="Y87">
        <f t="shared" si="11"/>
        <v>2776</v>
      </c>
      <c r="Z87">
        <f t="shared" si="12"/>
        <v>2220</v>
      </c>
      <c r="AA87">
        <f t="shared" si="13"/>
        <v>1982</v>
      </c>
      <c r="AB87">
        <f t="shared" si="14"/>
        <v>1321</v>
      </c>
      <c r="AC87">
        <f t="shared" si="15"/>
        <v>1720</v>
      </c>
      <c r="AD87">
        <f t="shared" si="16"/>
        <v>1058</v>
      </c>
      <c r="AE87">
        <f t="shared" si="17"/>
        <v>1190</v>
      </c>
      <c r="AF87">
        <v>0.85</v>
      </c>
      <c r="AG87">
        <v>0.75</v>
      </c>
      <c r="AH87">
        <v>0.5</v>
      </c>
      <c r="AI87">
        <v>0.65</v>
      </c>
      <c r="AJ87">
        <v>0.4</v>
      </c>
      <c r="AK87">
        <v>0.45</v>
      </c>
    </row>
    <row r="88" spans="1:38" x14ac:dyDescent="0.45">
      <c r="A88" t="s">
        <v>304</v>
      </c>
      <c r="B88" t="s">
        <v>37</v>
      </c>
      <c r="C88" t="s">
        <v>318</v>
      </c>
      <c r="D88" t="s">
        <v>319</v>
      </c>
      <c r="E88" t="s">
        <v>38</v>
      </c>
      <c r="F88" t="s">
        <v>320</v>
      </c>
      <c r="G88" t="s">
        <v>321</v>
      </c>
      <c r="H88" t="s">
        <v>41</v>
      </c>
      <c r="I88">
        <v>32.5</v>
      </c>
      <c r="J88">
        <v>15</v>
      </c>
      <c r="K88">
        <f>IFERROR(VLOOKUP(C88,[1]智慧家庭產品價格表.含稅!C:S,17,FALSE),0)</f>
        <v>1</v>
      </c>
      <c r="L88">
        <v>13</v>
      </c>
      <c r="M88">
        <f t="shared" si="9"/>
        <v>18.079999999999998</v>
      </c>
      <c r="N88">
        <v>100</v>
      </c>
      <c r="O88">
        <f t="shared" si="10"/>
        <v>688</v>
      </c>
      <c r="P88">
        <v>52</v>
      </c>
      <c r="Q88">
        <v>315</v>
      </c>
      <c r="R88" s="4">
        <v>3.3279999999999998</v>
      </c>
      <c r="S88" s="2">
        <v>1</v>
      </c>
      <c r="T88" s="2">
        <v>1.016</v>
      </c>
      <c r="U88" s="2">
        <v>1.0469999999999999</v>
      </c>
      <c r="V88" s="2">
        <v>1.0249999999999999</v>
      </c>
      <c r="W88" s="2">
        <v>1.071</v>
      </c>
      <c r="X88" s="2">
        <v>1.0580000000000001</v>
      </c>
      <c r="Y88">
        <f t="shared" si="11"/>
        <v>2290</v>
      </c>
      <c r="Z88">
        <f t="shared" si="12"/>
        <v>1947</v>
      </c>
      <c r="AA88">
        <f t="shared" si="13"/>
        <v>1745</v>
      </c>
      <c r="AB88">
        <f t="shared" si="14"/>
        <v>1199</v>
      </c>
      <c r="AC88">
        <f t="shared" si="15"/>
        <v>1526</v>
      </c>
      <c r="AD88">
        <f t="shared" si="16"/>
        <v>981</v>
      </c>
      <c r="AE88">
        <f t="shared" si="17"/>
        <v>1090</v>
      </c>
      <c r="AF88">
        <v>0.85</v>
      </c>
      <c r="AG88">
        <v>0.75</v>
      </c>
      <c r="AH88">
        <v>0.5</v>
      </c>
      <c r="AI88">
        <v>0.65</v>
      </c>
      <c r="AJ88">
        <v>0.4</v>
      </c>
      <c r="AK88">
        <v>0.45</v>
      </c>
    </row>
    <row r="89" spans="1:38" x14ac:dyDescent="0.45">
      <c r="A89" t="s">
        <v>304</v>
      </c>
      <c r="B89" t="s">
        <v>37</v>
      </c>
      <c r="C89" t="s">
        <v>322</v>
      </c>
      <c r="D89" t="s">
        <v>323</v>
      </c>
      <c r="E89" t="s">
        <v>38</v>
      </c>
      <c r="F89" t="s">
        <v>324</v>
      </c>
      <c r="G89" t="s">
        <v>325</v>
      </c>
      <c r="H89" t="s">
        <v>41</v>
      </c>
      <c r="I89">
        <v>32.5</v>
      </c>
      <c r="J89">
        <v>17</v>
      </c>
      <c r="K89">
        <f>IFERROR(VLOOKUP(C89,[1]智慧家庭產品價格表.含稅!C:S,17,FALSE),0)</f>
        <v>1</v>
      </c>
      <c r="L89">
        <v>13</v>
      </c>
      <c r="M89">
        <f t="shared" si="9"/>
        <v>20.34</v>
      </c>
      <c r="N89">
        <v>100</v>
      </c>
      <c r="O89">
        <f t="shared" si="10"/>
        <v>761</v>
      </c>
      <c r="P89">
        <v>52</v>
      </c>
      <c r="Q89">
        <v>315</v>
      </c>
      <c r="R89" s="4">
        <v>3.3250000000000002</v>
      </c>
      <c r="S89" s="2">
        <v>1</v>
      </c>
      <c r="T89" s="2">
        <v>1.0149999999999999</v>
      </c>
      <c r="U89" s="2">
        <v>1.0469999999999999</v>
      </c>
      <c r="V89" s="2">
        <v>1.0249999999999999</v>
      </c>
      <c r="W89" s="2">
        <v>1.071</v>
      </c>
      <c r="X89" s="2">
        <v>1.0580000000000001</v>
      </c>
      <c r="Y89">
        <f t="shared" si="11"/>
        <v>2530</v>
      </c>
      <c r="Z89">
        <f t="shared" si="12"/>
        <v>2151</v>
      </c>
      <c r="AA89">
        <f t="shared" si="13"/>
        <v>1926</v>
      </c>
      <c r="AB89">
        <f t="shared" si="14"/>
        <v>1324</v>
      </c>
      <c r="AC89">
        <f t="shared" si="15"/>
        <v>1686</v>
      </c>
      <c r="AD89">
        <f t="shared" si="16"/>
        <v>1084</v>
      </c>
      <c r="AE89">
        <f t="shared" si="17"/>
        <v>1205</v>
      </c>
      <c r="AF89">
        <v>0.85</v>
      </c>
      <c r="AG89">
        <v>0.75</v>
      </c>
      <c r="AH89">
        <v>0.5</v>
      </c>
      <c r="AI89">
        <v>0.65</v>
      </c>
      <c r="AJ89">
        <v>0.4</v>
      </c>
      <c r="AK89">
        <v>0.45</v>
      </c>
    </row>
    <row r="90" spans="1:38" x14ac:dyDescent="0.45">
      <c r="A90" t="s">
        <v>326</v>
      </c>
      <c r="B90" t="s">
        <v>37</v>
      </c>
      <c r="C90" t="s">
        <v>327</v>
      </c>
      <c r="D90" t="s">
        <v>328</v>
      </c>
      <c r="E90" t="s">
        <v>38</v>
      </c>
      <c r="F90" t="s">
        <v>329</v>
      </c>
      <c r="G90" t="s">
        <v>330</v>
      </c>
      <c r="H90" t="s">
        <v>41</v>
      </c>
      <c r="I90">
        <v>32.5</v>
      </c>
      <c r="J90">
        <v>13.02</v>
      </c>
      <c r="K90">
        <f>IFERROR(VLOOKUP(C90,[1]智慧家庭產品價格表.含稅!C:S,17,FALSE),0)</f>
        <v>3</v>
      </c>
      <c r="L90">
        <v>13</v>
      </c>
      <c r="M90">
        <f t="shared" si="9"/>
        <v>18.100000000000001</v>
      </c>
      <c r="N90">
        <v>20</v>
      </c>
      <c r="O90">
        <f t="shared" si="10"/>
        <v>608</v>
      </c>
      <c r="P90">
        <v>262</v>
      </c>
      <c r="Q90">
        <v>315</v>
      </c>
      <c r="R90" s="4">
        <v>3.948</v>
      </c>
      <c r="S90" s="2">
        <v>0.94099999999999995</v>
      </c>
      <c r="T90" s="2">
        <v>0.95199999999999996</v>
      </c>
      <c r="U90" s="2">
        <v>0.95199999999999996</v>
      </c>
      <c r="V90" s="2">
        <v>0.95199999999999996</v>
      </c>
      <c r="W90" s="2">
        <v>0.95199999999999996</v>
      </c>
      <c r="X90" s="2">
        <v>0.95299999999999996</v>
      </c>
      <c r="Y90">
        <f t="shared" si="11"/>
        <v>2400</v>
      </c>
      <c r="Z90">
        <f t="shared" si="12"/>
        <v>1920</v>
      </c>
      <c r="AA90">
        <f t="shared" si="13"/>
        <v>1714</v>
      </c>
      <c r="AB90">
        <f t="shared" si="14"/>
        <v>1142</v>
      </c>
      <c r="AC90">
        <f t="shared" si="15"/>
        <v>1485</v>
      </c>
      <c r="AD90">
        <f t="shared" si="16"/>
        <v>914</v>
      </c>
      <c r="AE90">
        <f t="shared" si="17"/>
        <v>1029</v>
      </c>
      <c r="AF90">
        <v>0.85</v>
      </c>
      <c r="AG90">
        <v>0.75</v>
      </c>
      <c r="AH90">
        <v>0.5</v>
      </c>
      <c r="AI90">
        <v>0.65</v>
      </c>
      <c r="AJ90">
        <v>0.4</v>
      </c>
      <c r="AK90">
        <v>0.45</v>
      </c>
    </row>
    <row r="91" spans="1:38" x14ac:dyDescent="0.45">
      <c r="A91" t="s">
        <v>326</v>
      </c>
      <c r="B91" t="s">
        <v>37</v>
      </c>
      <c r="C91" t="s">
        <v>331</v>
      </c>
      <c r="D91" t="s">
        <v>332</v>
      </c>
      <c r="E91" t="s">
        <v>38</v>
      </c>
      <c r="F91" t="s">
        <v>333</v>
      </c>
      <c r="G91" t="s">
        <v>334</v>
      </c>
      <c r="H91" t="s">
        <v>41</v>
      </c>
      <c r="I91">
        <v>32.5</v>
      </c>
      <c r="J91">
        <v>25.85</v>
      </c>
      <c r="K91">
        <f>IFERROR(VLOOKUP(C91,[1]智慧家庭產品價格表.含稅!C:S,17,FALSE),0)</f>
        <v>1</v>
      </c>
      <c r="L91">
        <v>13</v>
      </c>
      <c r="M91">
        <f t="shared" si="9"/>
        <v>30.34</v>
      </c>
      <c r="N91">
        <v>100</v>
      </c>
      <c r="O91">
        <f t="shared" si="10"/>
        <v>1086</v>
      </c>
      <c r="P91">
        <v>262</v>
      </c>
      <c r="Q91">
        <v>714</v>
      </c>
      <c r="R91" s="4">
        <v>3.6789999999999998</v>
      </c>
      <c r="S91" s="2">
        <v>0.94099999999999995</v>
      </c>
      <c r="T91" s="2">
        <v>0.95199999999999996</v>
      </c>
      <c r="U91" s="2">
        <v>0.95199999999999996</v>
      </c>
      <c r="V91" s="2">
        <v>0.95199999999999996</v>
      </c>
      <c r="W91" s="2">
        <v>0.95199999999999996</v>
      </c>
      <c r="X91" s="2">
        <v>0.95199999999999996</v>
      </c>
      <c r="Y91">
        <f t="shared" si="11"/>
        <v>3995</v>
      </c>
      <c r="Z91">
        <f t="shared" si="12"/>
        <v>3195</v>
      </c>
      <c r="AA91">
        <f t="shared" si="13"/>
        <v>2852</v>
      </c>
      <c r="AB91">
        <f t="shared" si="14"/>
        <v>1902</v>
      </c>
      <c r="AC91">
        <f t="shared" si="15"/>
        <v>2472</v>
      </c>
      <c r="AD91">
        <f t="shared" si="16"/>
        <v>1521</v>
      </c>
      <c r="AE91">
        <f t="shared" si="17"/>
        <v>1711</v>
      </c>
      <c r="AF91">
        <v>0.85</v>
      </c>
      <c r="AG91">
        <v>0.75</v>
      </c>
      <c r="AH91">
        <v>0.5</v>
      </c>
      <c r="AI91">
        <v>0.65</v>
      </c>
      <c r="AJ91">
        <v>0.4</v>
      </c>
      <c r="AK91">
        <v>0.45</v>
      </c>
    </row>
    <row r="92" spans="1:38" x14ac:dyDescent="0.45">
      <c r="A92" t="s">
        <v>326</v>
      </c>
      <c r="B92" t="s">
        <v>37</v>
      </c>
      <c r="C92" t="s">
        <v>335</v>
      </c>
      <c r="D92" t="s">
        <v>336</v>
      </c>
      <c r="E92" t="s">
        <v>38</v>
      </c>
      <c r="F92" t="s">
        <v>337</v>
      </c>
      <c r="G92" t="s">
        <v>338</v>
      </c>
      <c r="H92" t="s">
        <v>41</v>
      </c>
      <c r="I92">
        <v>32.5</v>
      </c>
      <c r="J92">
        <v>7.5</v>
      </c>
      <c r="K92">
        <f>IFERROR(VLOOKUP(C92,[1]智慧家庭產品價格表.含稅!C:S,17,FALSE),0)</f>
        <v>1</v>
      </c>
      <c r="L92">
        <v>13</v>
      </c>
      <c r="M92">
        <f t="shared" si="9"/>
        <v>9.61</v>
      </c>
      <c r="N92">
        <v>100</v>
      </c>
      <c r="O92">
        <f t="shared" si="10"/>
        <v>412</v>
      </c>
      <c r="P92">
        <v>52</v>
      </c>
      <c r="Q92">
        <v>315</v>
      </c>
      <c r="R92" s="4">
        <v>4.3259999999999996</v>
      </c>
      <c r="S92" s="2">
        <v>0.94099999999999995</v>
      </c>
      <c r="T92" s="2">
        <v>0.95199999999999996</v>
      </c>
      <c r="U92" s="2">
        <v>0.95199999999999996</v>
      </c>
      <c r="V92" s="2">
        <v>0.95199999999999996</v>
      </c>
      <c r="W92" s="2">
        <v>0.95199999999999996</v>
      </c>
      <c r="X92" s="2">
        <v>0.95299999999999996</v>
      </c>
      <c r="Y92">
        <f t="shared" si="11"/>
        <v>1782</v>
      </c>
      <c r="Z92">
        <f t="shared" si="12"/>
        <v>1425</v>
      </c>
      <c r="AA92">
        <f t="shared" si="13"/>
        <v>1272</v>
      </c>
      <c r="AB92">
        <f t="shared" si="14"/>
        <v>848</v>
      </c>
      <c r="AC92">
        <f t="shared" si="15"/>
        <v>1103</v>
      </c>
      <c r="AD92">
        <f t="shared" si="16"/>
        <v>679</v>
      </c>
      <c r="AE92">
        <f t="shared" si="17"/>
        <v>764</v>
      </c>
      <c r="AF92">
        <v>0.85</v>
      </c>
      <c r="AG92">
        <v>0.75</v>
      </c>
      <c r="AH92">
        <v>0.5</v>
      </c>
      <c r="AI92">
        <v>0.65</v>
      </c>
      <c r="AJ92">
        <v>0.4</v>
      </c>
      <c r="AK92">
        <v>0.45</v>
      </c>
      <c r="AL92" t="s">
        <v>259</v>
      </c>
    </row>
    <row r="93" spans="1:38" x14ac:dyDescent="0.45">
      <c r="A93" t="s">
        <v>326</v>
      </c>
      <c r="B93" t="s">
        <v>37</v>
      </c>
      <c r="C93" t="s">
        <v>339</v>
      </c>
      <c r="D93" t="s">
        <v>340</v>
      </c>
      <c r="E93" t="s">
        <v>38</v>
      </c>
      <c r="F93" t="s">
        <v>341</v>
      </c>
      <c r="G93" t="s">
        <v>342</v>
      </c>
      <c r="H93" t="s">
        <v>41</v>
      </c>
      <c r="I93">
        <v>32.5</v>
      </c>
      <c r="J93">
        <v>266</v>
      </c>
      <c r="K93">
        <f>IFERROR(VLOOKUP(C93,[1]智慧家庭產品價格表.含稅!C:S,17,FALSE),0)</f>
        <v>1</v>
      </c>
      <c r="L93">
        <v>13</v>
      </c>
      <c r="M93">
        <f t="shared" si="9"/>
        <v>301.70999999999998</v>
      </c>
      <c r="N93">
        <v>20</v>
      </c>
      <c r="O93">
        <f t="shared" si="10"/>
        <v>9826</v>
      </c>
      <c r="P93">
        <v>525</v>
      </c>
      <c r="Q93">
        <v>1260</v>
      </c>
      <c r="R93" s="4">
        <v>3.6019999999999999</v>
      </c>
      <c r="S93" s="2">
        <v>0.94099999999999995</v>
      </c>
      <c r="T93" s="2">
        <v>0.95199999999999996</v>
      </c>
      <c r="U93" s="2">
        <v>0.95199999999999996</v>
      </c>
      <c r="V93" s="2">
        <v>0.95199999999999996</v>
      </c>
      <c r="W93" s="2">
        <v>0.95199999999999996</v>
      </c>
      <c r="X93" s="2">
        <v>0.95199999999999996</v>
      </c>
      <c r="Y93">
        <f t="shared" si="11"/>
        <v>35393</v>
      </c>
      <c r="Z93">
        <f t="shared" si="12"/>
        <v>28309</v>
      </c>
      <c r="AA93">
        <f t="shared" si="13"/>
        <v>25271</v>
      </c>
      <c r="AB93">
        <f t="shared" si="14"/>
        <v>16847</v>
      </c>
      <c r="AC93">
        <f t="shared" si="15"/>
        <v>21901</v>
      </c>
      <c r="AD93">
        <f t="shared" si="16"/>
        <v>13478</v>
      </c>
      <c r="AE93">
        <f t="shared" si="17"/>
        <v>15162</v>
      </c>
      <c r="AF93">
        <v>0.85</v>
      </c>
      <c r="AG93">
        <v>0.75</v>
      </c>
      <c r="AH93">
        <v>0.5</v>
      </c>
      <c r="AI93">
        <v>0.65</v>
      </c>
      <c r="AJ93">
        <v>0.4</v>
      </c>
      <c r="AK93">
        <v>0.45</v>
      </c>
    </row>
    <row r="94" spans="1:38" x14ac:dyDescent="0.45">
      <c r="A94" t="s">
        <v>343</v>
      </c>
      <c r="B94" t="s">
        <v>37</v>
      </c>
      <c r="C94" t="s">
        <v>344</v>
      </c>
      <c r="D94" t="s">
        <v>345</v>
      </c>
      <c r="E94" t="s">
        <v>38</v>
      </c>
      <c r="F94" t="s">
        <v>346</v>
      </c>
      <c r="G94" t="s">
        <v>347</v>
      </c>
      <c r="H94" t="s">
        <v>41</v>
      </c>
      <c r="I94">
        <v>32.5</v>
      </c>
      <c r="J94">
        <v>29.01</v>
      </c>
      <c r="K94">
        <f>IFERROR(VLOOKUP(C94,[1]智慧家庭產品價格表.含稅!C:S,17,FALSE),0)</f>
        <v>1</v>
      </c>
      <c r="L94">
        <v>13</v>
      </c>
      <c r="M94">
        <f t="shared" si="9"/>
        <v>33.909999999999997</v>
      </c>
      <c r="N94">
        <v>20</v>
      </c>
      <c r="O94">
        <f t="shared" si="10"/>
        <v>1122</v>
      </c>
      <c r="P94">
        <v>262</v>
      </c>
      <c r="Q94">
        <v>315</v>
      </c>
      <c r="R94" s="4">
        <v>3.41</v>
      </c>
      <c r="S94" s="2">
        <v>1</v>
      </c>
      <c r="T94" s="2">
        <v>1.016</v>
      </c>
      <c r="U94" s="2">
        <v>1.048</v>
      </c>
      <c r="V94" s="2">
        <v>1.026</v>
      </c>
      <c r="W94" s="2">
        <v>1.0720000000000001</v>
      </c>
      <c r="X94" s="2">
        <v>1.0580000000000001</v>
      </c>
      <c r="Y94">
        <f t="shared" si="11"/>
        <v>3826</v>
      </c>
      <c r="Z94">
        <f t="shared" si="12"/>
        <v>3252</v>
      </c>
      <c r="AA94">
        <f t="shared" si="13"/>
        <v>2915</v>
      </c>
      <c r="AB94">
        <f t="shared" si="14"/>
        <v>2005</v>
      </c>
      <c r="AC94">
        <f t="shared" si="15"/>
        <v>2552</v>
      </c>
      <c r="AD94">
        <f t="shared" si="16"/>
        <v>1641</v>
      </c>
      <c r="AE94">
        <f t="shared" si="17"/>
        <v>1822</v>
      </c>
      <c r="AF94">
        <v>0.85</v>
      </c>
      <c r="AG94">
        <v>0.75</v>
      </c>
      <c r="AH94">
        <v>0.5</v>
      </c>
      <c r="AI94">
        <v>0.65</v>
      </c>
      <c r="AJ94">
        <v>0.4</v>
      </c>
      <c r="AK94">
        <v>0.45</v>
      </c>
      <c r="AL94" t="s">
        <v>348</v>
      </c>
    </row>
    <row r="95" spans="1:38" x14ac:dyDescent="0.45">
      <c r="A95" t="s">
        <v>343</v>
      </c>
      <c r="B95" t="s">
        <v>37</v>
      </c>
      <c r="C95" t="s">
        <v>349</v>
      </c>
      <c r="D95" t="s">
        <v>350</v>
      </c>
      <c r="E95" t="s">
        <v>38</v>
      </c>
      <c r="F95" t="s">
        <v>351</v>
      </c>
      <c r="G95" t="s">
        <v>352</v>
      </c>
      <c r="H95" t="s">
        <v>41</v>
      </c>
      <c r="I95">
        <v>32.5</v>
      </c>
      <c r="J95">
        <v>27</v>
      </c>
      <c r="K95">
        <f>IFERROR(VLOOKUP(C95,[1]智慧家庭產品價格表.含稅!C:S,17,FALSE),0)</f>
        <v>1</v>
      </c>
      <c r="L95">
        <v>13</v>
      </c>
      <c r="M95">
        <f t="shared" si="9"/>
        <v>31.64</v>
      </c>
      <c r="N95">
        <v>20</v>
      </c>
      <c r="O95">
        <f t="shared" si="10"/>
        <v>1048</v>
      </c>
      <c r="P95">
        <v>262</v>
      </c>
      <c r="Q95">
        <v>315</v>
      </c>
      <c r="R95" s="4">
        <v>3.1779999999999999</v>
      </c>
      <c r="S95" s="2">
        <v>1</v>
      </c>
      <c r="T95" s="2">
        <v>1.016</v>
      </c>
      <c r="U95" s="2">
        <v>1.0469999999999999</v>
      </c>
      <c r="V95" s="2">
        <v>1.0249999999999999</v>
      </c>
      <c r="W95" s="2">
        <v>1.071</v>
      </c>
      <c r="X95" s="2">
        <v>1.0580000000000001</v>
      </c>
      <c r="Y95">
        <f t="shared" si="11"/>
        <v>3331</v>
      </c>
      <c r="Z95">
        <f t="shared" si="12"/>
        <v>2831</v>
      </c>
      <c r="AA95">
        <f t="shared" si="13"/>
        <v>2538</v>
      </c>
      <c r="AB95">
        <f t="shared" si="14"/>
        <v>1744</v>
      </c>
      <c r="AC95">
        <f t="shared" si="15"/>
        <v>2219</v>
      </c>
      <c r="AD95">
        <f t="shared" si="16"/>
        <v>1427</v>
      </c>
      <c r="AE95">
        <f t="shared" si="17"/>
        <v>1586</v>
      </c>
      <c r="AF95">
        <v>0.85</v>
      </c>
      <c r="AG95">
        <v>0.75</v>
      </c>
      <c r="AH95">
        <v>0.5</v>
      </c>
      <c r="AI95">
        <v>0.65</v>
      </c>
      <c r="AJ95">
        <v>0.4</v>
      </c>
      <c r="AK95">
        <v>0.45</v>
      </c>
      <c r="AL95" t="s">
        <v>353</v>
      </c>
    </row>
    <row r="96" spans="1:38" x14ac:dyDescent="0.45">
      <c r="A96" t="s">
        <v>354</v>
      </c>
      <c r="B96" t="s">
        <v>37</v>
      </c>
      <c r="C96" t="s">
        <v>355</v>
      </c>
      <c r="D96" t="s">
        <v>356</v>
      </c>
      <c r="E96" t="s">
        <v>224</v>
      </c>
      <c r="F96" t="s">
        <v>357</v>
      </c>
      <c r="G96" t="s">
        <v>358</v>
      </c>
      <c r="H96" t="s">
        <v>41</v>
      </c>
      <c r="I96">
        <v>32.5</v>
      </c>
      <c r="J96">
        <v>94</v>
      </c>
      <c r="K96">
        <f>IFERROR(VLOOKUP(C96,[1]智慧家庭產品價格表.含稅!C:S,17,FALSE),0)</f>
        <v>15</v>
      </c>
      <c r="L96">
        <v>13</v>
      </c>
      <c r="M96">
        <f t="shared" si="9"/>
        <v>123.17</v>
      </c>
      <c r="N96">
        <v>896</v>
      </c>
      <c r="O96">
        <f t="shared" si="10"/>
        <v>4899</v>
      </c>
      <c r="P96">
        <v>472</v>
      </c>
      <c r="Q96">
        <v>315</v>
      </c>
      <c r="R96" s="4">
        <v>2.8849999999999998</v>
      </c>
      <c r="S96" s="2">
        <v>1</v>
      </c>
      <c r="T96" s="2">
        <v>1.016</v>
      </c>
      <c r="U96" s="2">
        <v>1.0469999999999999</v>
      </c>
      <c r="V96" s="2">
        <v>1.0249999999999999</v>
      </c>
      <c r="W96" s="2">
        <v>1.071</v>
      </c>
      <c r="X96" s="2">
        <v>1.0580000000000001</v>
      </c>
      <c r="Y96">
        <f t="shared" si="11"/>
        <v>14134</v>
      </c>
      <c r="Z96">
        <f t="shared" si="12"/>
        <v>12014</v>
      </c>
      <c r="AA96">
        <f t="shared" si="13"/>
        <v>10770</v>
      </c>
      <c r="AB96">
        <f t="shared" si="14"/>
        <v>7399</v>
      </c>
      <c r="AC96">
        <f t="shared" si="15"/>
        <v>9417</v>
      </c>
      <c r="AD96">
        <f t="shared" si="16"/>
        <v>6055</v>
      </c>
      <c r="AE96">
        <f t="shared" si="17"/>
        <v>6729</v>
      </c>
      <c r="AF96">
        <v>0.85</v>
      </c>
      <c r="AG96">
        <v>0.75</v>
      </c>
      <c r="AH96">
        <v>0.5</v>
      </c>
      <c r="AI96">
        <v>0.65</v>
      </c>
      <c r="AJ96">
        <v>0.4</v>
      </c>
      <c r="AK96">
        <v>0.45</v>
      </c>
    </row>
    <row r="97" spans="1:38" x14ac:dyDescent="0.45">
      <c r="A97" t="s">
        <v>354</v>
      </c>
      <c r="B97" t="s">
        <v>37</v>
      </c>
      <c r="C97" t="s">
        <v>359</v>
      </c>
      <c r="D97" t="s">
        <v>360</v>
      </c>
      <c r="E97" t="s">
        <v>361</v>
      </c>
      <c r="G97" t="s">
        <v>362</v>
      </c>
      <c r="H97" t="s">
        <v>41</v>
      </c>
      <c r="I97">
        <v>32.5</v>
      </c>
      <c r="J97">
        <v>29</v>
      </c>
      <c r="K97">
        <f>IFERROR(VLOOKUP(C97,[1]智慧家庭產品價格表.含稅!C:S,17,FALSE),0)</f>
        <v>6</v>
      </c>
      <c r="L97">
        <v>13</v>
      </c>
      <c r="M97">
        <f t="shared" si="9"/>
        <v>39.549999999999997</v>
      </c>
      <c r="N97">
        <v>20</v>
      </c>
      <c r="O97">
        <f t="shared" si="10"/>
        <v>1305</v>
      </c>
      <c r="P97">
        <v>472</v>
      </c>
      <c r="Q97">
        <v>0</v>
      </c>
      <c r="R97" s="4">
        <v>0</v>
      </c>
      <c r="S97" s="2" t="e">
        <v>#DIV/0!</v>
      </c>
      <c r="T97" s="2" t="e">
        <v>#DIV/0!</v>
      </c>
      <c r="U97" s="2" t="e">
        <v>#DIV/0!</v>
      </c>
      <c r="V97" s="2" t="e">
        <v>#DIV/0!</v>
      </c>
      <c r="W97" s="2" t="e">
        <v>#DIV/0!</v>
      </c>
      <c r="X97" s="2" t="e">
        <v>#DIV/0!</v>
      </c>
      <c r="Y97">
        <f t="shared" si="11"/>
        <v>0</v>
      </c>
      <c r="Z97" t="e">
        <f t="shared" si="12"/>
        <v>#DIV/0!</v>
      </c>
      <c r="AA97" t="e">
        <f t="shared" si="13"/>
        <v>#DIV/0!</v>
      </c>
      <c r="AB97" t="e">
        <f t="shared" si="14"/>
        <v>#DIV/0!</v>
      </c>
      <c r="AC97" t="e">
        <f t="shared" si="15"/>
        <v>#DIV/0!</v>
      </c>
      <c r="AD97" t="e">
        <f t="shared" si="16"/>
        <v>#DIV/0!</v>
      </c>
      <c r="AE97" t="e">
        <f t="shared" si="17"/>
        <v>#DIV/0!</v>
      </c>
      <c r="AF97">
        <v>0.85</v>
      </c>
      <c r="AG97">
        <v>0.75</v>
      </c>
      <c r="AH97">
        <v>0.5</v>
      </c>
      <c r="AI97">
        <v>0.65</v>
      </c>
      <c r="AJ97">
        <v>0.4</v>
      </c>
      <c r="AK97">
        <v>0.45</v>
      </c>
    </row>
    <row r="98" spans="1:38" x14ac:dyDescent="0.45">
      <c r="A98" t="s">
        <v>354</v>
      </c>
      <c r="B98" t="s">
        <v>37</v>
      </c>
      <c r="C98" t="s">
        <v>363</v>
      </c>
      <c r="D98" t="s">
        <v>364</v>
      </c>
      <c r="E98" t="s">
        <v>231</v>
      </c>
      <c r="G98" t="s">
        <v>365</v>
      </c>
      <c r="H98" t="s">
        <v>41</v>
      </c>
      <c r="I98">
        <v>32.5</v>
      </c>
      <c r="J98">
        <v>50</v>
      </c>
      <c r="K98">
        <f>IFERROR(VLOOKUP(C98,[1]智慧家庭產品價格表.含稅!C:S,17,FALSE),0)</f>
        <v>3</v>
      </c>
      <c r="L98">
        <v>13</v>
      </c>
      <c r="M98">
        <f t="shared" si="9"/>
        <v>59.89</v>
      </c>
      <c r="N98">
        <v>0</v>
      </c>
      <c r="O98">
        <f t="shared" si="10"/>
        <v>1946</v>
      </c>
      <c r="P98">
        <v>0</v>
      </c>
      <c r="Q98">
        <v>0</v>
      </c>
      <c r="R98" s="4">
        <v>0</v>
      </c>
      <c r="S98" s="2" t="e">
        <v>#DIV/0!</v>
      </c>
      <c r="T98" s="2" t="e">
        <v>#DIV/0!</v>
      </c>
      <c r="U98" s="2" t="e">
        <v>#DIV/0!</v>
      </c>
      <c r="V98" s="2" t="e">
        <v>#DIV/0!</v>
      </c>
      <c r="W98" s="2" t="e">
        <v>#DIV/0!</v>
      </c>
      <c r="X98" s="2" t="e">
        <v>#DIV/0!</v>
      </c>
      <c r="Y98">
        <f t="shared" si="11"/>
        <v>0</v>
      </c>
      <c r="Z98" t="e">
        <f t="shared" si="12"/>
        <v>#DIV/0!</v>
      </c>
      <c r="AA98" t="e">
        <f t="shared" si="13"/>
        <v>#DIV/0!</v>
      </c>
      <c r="AB98" t="e">
        <f t="shared" si="14"/>
        <v>#DIV/0!</v>
      </c>
      <c r="AC98" t="e">
        <f t="shared" si="15"/>
        <v>#DIV/0!</v>
      </c>
      <c r="AD98" t="e">
        <f t="shared" si="16"/>
        <v>#DIV/0!</v>
      </c>
      <c r="AE98" t="e">
        <f t="shared" si="17"/>
        <v>#DIV/0!</v>
      </c>
      <c r="AF98">
        <v>0.85</v>
      </c>
      <c r="AG98">
        <v>0.75</v>
      </c>
      <c r="AH98">
        <v>0.5</v>
      </c>
      <c r="AI98">
        <v>0.65</v>
      </c>
      <c r="AJ98">
        <v>0.4</v>
      </c>
      <c r="AK98">
        <v>0.45</v>
      </c>
    </row>
    <row r="99" spans="1:38" x14ac:dyDescent="0.45">
      <c r="A99" t="s">
        <v>354</v>
      </c>
      <c r="B99" t="s">
        <v>37</v>
      </c>
      <c r="C99" t="s">
        <v>366</v>
      </c>
      <c r="D99" t="s">
        <v>367</v>
      </c>
      <c r="E99" t="s">
        <v>231</v>
      </c>
      <c r="H99" t="s">
        <v>41</v>
      </c>
      <c r="I99">
        <v>32.5</v>
      </c>
      <c r="J99">
        <v>50</v>
      </c>
      <c r="K99">
        <f>IFERROR(VLOOKUP(C99,[1]智慧家庭產品價格表.含稅!C:S,17,FALSE),0)</f>
        <v>3</v>
      </c>
      <c r="L99">
        <v>13</v>
      </c>
      <c r="M99">
        <f t="shared" si="9"/>
        <v>59.89</v>
      </c>
      <c r="N99">
        <v>0</v>
      </c>
      <c r="O99">
        <f t="shared" si="10"/>
        <v>1946</v>
      </c>
      <c r="P99">
        <v>0</v>
      </c>
      <c r="Q99">
        <v>0</v>
      </c>
      <c r="R99" s="4">
        <v>0</v>
      </c>
      <c r="S99" s="2" t="e">
        <v>#DIV/0!</v>
      </c>
      <c r="T99" s="2" t="e">
        <v>#DIV/0!</v>
      </c>
      <c r="U99" s="2" t="e">
        <v>#DIV/0!</v>
      </c>
      <c r="V99" s="2" t="e">
        <v>#DIV/0!</v>
      </c>
      <c r="W99" s="2" t="e">
        <v>#DIV/0!</v>
      </c>
      <c r="X99" s="2" t="e">
        <v>#DIV/0!</v>
      </c>
      <c r="Y99">
        <f t="shared" si="11"/>
        <v>0</v>
      </c>
      <c r="Z99" t="e">
        <f t="shared" si="12"/>
        <v>#DIV/0!</v>
      </c>
      <c r="AA99" t="e">
        <f t="shared" si="13"/>
        <v>#DIV/0!</v>
      </c>
      <c r="AB99" t="e">
        <f t="shared" si="14"/>
        <v>#DIV/0!</v>
      </c>
      <c r="AC99" t="e">
        <f t="shared" si="15"/>
        <v>#DIV/0!</v>
      </c>
      <c r="AD99" t="e">
        <f t="shared" si="16"/>
        <v>#DIV/0!</v>
      </c>
      <c r="AE99" t="e">
        <f t="shared" si="17"/>
        <v>#DIV/0!</v>
      </c>
      <c r="AF99">
        <v>0.85</v>
      </c>
      <c r="AG99">
        <v>0.75</v>
      </c>
      <c r="AH99">
        <v>0.5</v>
      </c>
      <c r="AI99">
        <v>0.65</v>
      </c>
      <c r="AJ99">
        <v>0.4</v>
      </c>
      <c r="AK99">
        <v>0.45</v>
      </c>
    </row>
    <row r="100" spans="1:38" x14ac:dyDescent="0.45">
      <c r="A100" s="5" t="s">
        <v>354</v>
      </c>
      <c r="B100" t="s">
        <v>37</v>
      </c>
      <c r="C100" t="s">
        <v>368</v>
      </c>
      <c r="D100" t="s">
        <v>369</v>
      </c>
      <c r="E100" t="s">
        <v>224</v>
      </c>
      <c r="F100" t="s">
        <v>370</v>
      </c>
      <c r="G100" t="s">
        <v>371</v>
      </c>
      <c r="H100" t="s">
        <v>41</v>
      </c>
      <c r="I100">
        <v>32.5</v>
      </c>
      <c r="J100">
        <v>293</v>
      </c>
      <c r="K100">
        <f>IFERROR(VLOOKUP(C100,[1]智慧家庭產品價格表.含稅!C:S,17,FALSE),0)</f>
        <v>15</v>
      </c>
      <c r="L100">
        <v>13</v>
      </c>
      <c r="M100">
        <f t="shared" si="9"/>
        <v>348.04</v>
      </c>
      <c r="N100">
        <v>896</v>
      </c>
      <c r="O100">
        <f t="shared" si="10"/>
        <v>12207</v>
      </c>
      <c r="P100">
        <v>472</v>
      </c>
      <c r="Q100">
        <v>315</v>
      </c>
      <c r="R100" s="4">
        <v>3.1059999999999999</v>
      </c>
      <c r="S100" s="2">
        <v>1</v>
      </c>
      <c r="T100" s="2">
        <v>1.016</v>
      </c>
      <c r="U100" s="2">
        <v>1.0469999999999999</v>
      </c>
      <c r="V100" s="2">
        <v>1.0249999999999999</v>
      </c>
      <c r="W100" s="2">
        <v>1.071</v>
      </c>
      <c r="X100" s="2">
        <v>1.0580000000000001</v>
      </c>
      <c r="Y100">
        <f t="shared" si="11"/>
        <v>37915</v>
      </c>
      <c r="Z100">
        <f t="shared" si="12"/>
        <v>32228</v>
      </c>
      <c r="AA100">
        <f t="shared" si="13"/>
        <v>28891</v>
      </c>
      <c r="AB100">
        <f t="shared" si="14"/>
        <v>19849</v>
      </c>
      <c r="AC100">
        <f t="shared" si="15"/>
        <v>25261</v>
      </c>
      <c r="AD100">
        <f t="shared" si="16"/>
        <v>16243</v>
      </c>
      <c r="AE100">
        <f t="shared" si="17"/>
        <v>18051</v>
      </c>
      <c r="AF100">
        <v>0.85</v>
      </c>
      <c r="AG100">
        <v>0.75</v>
      </c>
      <c r="AH100">
        <v>0.5</v>
      </c>
      <c r="AI100">
        <v>0.65</v>
      </c>
      <c r="AJ100">
        <v>0.4</v>
      </c>
      <c r="AK100">
        <v>0.45</v>
      </c>
    </row>
    <row r="101" spans="1:38" x14ac:dyDescent="0.45">
      <c r="A101" t="s">
        <v>372</v>
      </c>
      <c r="B101" t="s">
        <v>37</v>
      </c>
      <c r="C101" t="s">
        <v>373</v>
      </c>
      <c r="D101" t="s">
        <v>374</v>
      </c>
      <c r="E101" t="s">
        <v>38</v>
      </c>
      <c r="F101" t="s">
        <v>375</v>
      </c>
      <c r="G101" t="s">
        <v>376</v>
      </c>
      <c r="H101" t="s">
        <v>41</v>
      </c>
      <c r="I101">
        <v>32.5</v>
      </c>
      <c r="J101">
        <v>15</v>
      </c>
      <c r="K101">
        <f>IFERROR(VLOOKUP(C101,[1]智慧家庭產品價格表.含稅!C:S,17,FALSE),0)</f>
        <v>6</v>
      </c>
      <c r="L101">
        <v>13</v>
      </c>
      <c r="M101">
        <f t="shared" si="9"/>
        <v>23.73</v>
      </c>
      <c r="N101">
        <v>75</v>
      </c>
      <c r="O101">
        <f t="shared" si="10"/>
        <v>846</v>
      </c>
      <c r="P101">
        <v>210</v>
      </c>
      <c r="Q101">
        <v>525</v>
      </c>
      <c r="R101" s="4">
        <v>3.3220000000000001</v>
      </c>
      <c r="S101" s="2">
        <v>0.94099999999999995</v>
      </c>
      <c r="T101" s="2">
        <v>0.95199999999999996</v>
      </c>
      <c r="U101" s="2">
        <v>0.95199999999999996</v>
      </c>
      <c r="V101" s="2">
        <v>0.95299999999999996</v>
      </c>
      <c r="W101" s="2">
        <v>0.95299999999999996</v>
      </c>
      <c r="X101" s="2">
        <v>0.95199999999999996</v>
      </c>
      <c r="Y101">
        <f t="shared" si="11"/>
        <v>2810</v>
      </c>
      <c r="Z101">
        <f t="shared" si="12"/>
        <v>2248</v>
      </c>
      <c r="AA101">
        <f t="shared" si="13"/>
        <v>2006</v>
      </c>
      <c r="AB101">
        <f t="shared" si="14"/>
        <v>1338</v>
      </c>
      <c r="AC101">
        <f t="shared" si="15"/>
        <v>1741</v>
      </c>
      <c r="AD101">
        <f t="shared" si="16"/>
        <v>1071</v>
      </c>
      <c r="AE101">
        <f t="shared" si="17"/>
        <v>1204</v>
      </c>
      <c r="AF101">
        <v>0.85</v>
      </c>
      <c r="AG101">
        <v>0.75</v>
      </c>
      <c r="AH101">
        <v>0.5</v>
      </c>
      <c r="AI101">
        <v>0.65</v>
      </c>
      <c r="AJ101">
        <v>0.4</v>
      </c>
      <c r="AK101">
        <v>0.45</v>
      </c>
    </row>
    <row r="102" spans="1:38" x14ac:dyDescent="0.45">
      <c r="A102" t="s">
        <v>372</v>
      </c>
      <c r="B102" t="s">
        <v>37</v>
      </c>
      <c r="C102" t="s">
        <v>377</v>
      </c>
      <c r="D102" t="s">
        <v>378</v>
      </c>
      <c r="E102" t="s">
        <v>38</v>
      </c>
      <c r="F102" t="s">
        <v>379</v>
      </c>
      <c r="G102" t="s">
        <v>380</v>
      </c>
      <c r="H102" t="s">
        <v>41</v>
      </c>
      <c r="I102">
        <v>32.5</v>
      </c>
      <c r="J102">
        <v>24</v>
      </c>
      <c r="K102">
        <f>IFERROR(VLOOKUP(C102,[1]智慧家庭產品價格表.含稅!C:S,17,FALSE),0)</f>
        <v>6</v>
      </c>
      <c r="L102">
        <v>13</v>
      </c>
      <c r="M102">
        <f t="shared" si="9"/>
        <v>33.9</v>
      </c>
      <c r="N102">
        <v>75</v>
      </c>
      <c r="O102">
        <f t="shared" si="10"/>
        <v>1177</v>
      </c>
      <c r="P102">
        <v>210</v>
      </c>
      <c r="Q102">
        <v>525</v>
      </c>
      <c r="R102" s="4">
        <v>3.3730000000000002</v>
      </c>
      <c r="S102" s="2">
        <v>0.94099999999999995</v>
      </c>
      <c r="T102" s="2">
        <v>0.95199999999999996</v>
      </c>
      <c r="U102" s="2">
        <v>0.95199999999999996</v>
      </c>
      <c r="V102" s="2">
        <v>0.95199999999999996</v>
      </c>
      <c r="W102" s="2">
        <v>0.95199999999999996</v>
      </c>
      <c r="X102" s="2">
        <v>0.95199999999999996</v>
      </c>
      <c r="Y102">
        <f t="shared" si="11"/>
        <v>3970</v>
      </c>
      <c r="Z102">
        <f t="shared" si="12"/>
        <v>3175</v>
      </c>
      <c r="AA102">
        <f t="shared" si="13"/>
        <v>2835</v>
      </c>
      <c r="AB102">
        <f t="shared" si="14"/>
        <v>1890</v>
      </c>
      <c r="AC102">
        <f t="shared" si="15"/>
        <v>2457</v>
      </c>
      <c r="AD102">
        <f t="shared" si="16"/>
        <v>1512</v>
      </c>
      <c r="AE102">
        <f t="shared" si="17"/>
        <v>1701</v>
      </c>
      <c r="AF102">
        <v>0.85</v>
      </c>
      <c r="AG102">
        <v>0.75</v>
      </c>
      <c r="AH102">
        <v>0.5</v>
      </c>
      <c r="AI102">
        <v>0.65</v>
      </c>
      <c r="AJ102">
        <v>0.4</v>
      </c>
      <c r="AK102">
        <v>0.45</v>
      </c>
    </row>
    <row r="103" spans="1:38" x14ac:dyDescent="0.45">
      <c r="A103" t="s">
        <v>372</v>
      </c>
      <c r="B103" t="s">
        <v>37</v>
      </c>
      <c r="C103" t="s">
        <v>381</v>
      </c>
      <c r="D103" t="s">
        <v>382</v>
      </c>
      <c r="E103" t="s">
        <v>38</v>
      </c>
      <c r="F103" t="s">
        <v>383</v>
      </c>
      <c r="G103" t="s">
        <v>384</v>
      </c>
      <c r="H103" t="s">
        <v>41</v>
      </c>
      <c r="I103">
        <v>32.5</v>
      </c>
      <c r="J103">
        <v>27</v>
      </c>
      <c r="K103">
        <f>IFERROR(VLOOKUP(C103,[1]智慧家庭產品價格表.含稅!C:S,17,FALSE),0)</f>
        <v>6</v>
      </c>
      <c r="L103">
        <v>13</v>
      </c>
      <c r="M103">
        <f t="shared" si="9"/>
        <v>37.29</v>
      </c>
      <c r="N103">
        <v>75</v>
      </c>
      <c r="O103">
        <f t="shared" si="10"/>
        <v>1287</v>
      </c>
      <c r="P103">
        <v>210</v>
      </c>
      <c r="Q103">
        <v>525</v>
      </c>
      <c r="R103" s="4">
        <v>3.3849999999999998</v>
      </c>
      <c r="S103" s="2">
        <v>0.94099999999999995</v>
      </c>
      <c r="T103" s="2">
        <v>0.95199999999999996</v>
      </c>
      <c r="U103" s="2">
        <v>0.95199999999999996</v>
      </c>
      <c r="V103" s="2">
        <v>0.95199999999999996</v>
      </c>
      <c r="W103" s="2">
        <v>0.95199999999999996</v>
      </c>
      <c r="X103" s="2">
        <v>0.95299999999999996</v>
      </c>
      <c r="Y103">
        <f t="shared" si="11"/>
        <v>4356</v>
      </c>
      <c r="Z103">
        <f t="shared" si="12"/>
        <v>3484</v>
      </c>
      <c r="AA103">
        <f t="shared" si="13"/>
        <v>3110</v>
      </c>
      <c r="AB103">
        <f t="shared" si="14"/>
        <v>2073</v>
      </c>
      <c r="AC103">
        <f t="shared" si="15"/>
        <v>2695</v>
      </c>
      <c r="AD103">
        <f t="shared" si="16"/>
        <v>1659</v>
      </c>
      <c r="AE103">
        <f t="shared" si="17"/>
        <v>1868</v>
      </c>
      <c r="AF103">
        <v>0.85</v>
      </c>
      <c r="AG103">
        <v>0.75</v>
      </c>
      <c r="AH103">
        <v>0.5</v>
      </c>
      <c r="AI103">
        <v>0.65</v>
      </c>
      <c r="AJ103">
        <v>0.4</v>
      </c>
      <c r="AK103">
        <v>0.45</v>
      </c>
    </row>
    <row r="104" spans="1:38" x14ac:dyDescent="0.45">
      <c r="A104" t="s">
        <v>372</v>
      </c>
      <c r="B104" t="s">
        <v>37</v>
      </c>
      <c r="C104" t="s">
        <v>385</v>
      </c>
      <c r="D104" t="s">
        <v>386</v>
      </c>
      <c r="E104" t="s">
        <v>361</v>
      </c>
      <c r="F104" t="s">
        <v>387</v>
      </c>
      <c r="G104" t="s">
        <v>388</v>
      </c>
      <c r="H104" t="s">
        <v>41</v>
      </c>
      <c r="I104">
        <v>32.5</v>
      </c>
      <c r="J104">
        <v>2</v>
      </c>
      <c r="K104">
        <f>IFERROR(VLOOKUP(C104,[1]智慧家庭產品價格表.含稅!C:S,17,FALSE),0)</f>
        <v>0.6</v>
      </c>
      <c r="L104">
        <v>13</v>
      </c>
      <c r="M104">
        <f t="shared" si="9"/>
        <v>2.94</v>
      </c>
      <c r="N104">
        <v>0</v>
      </c>
      <c r="O104">
        <f t="shared" si="10"/>
        <v>96</v>
      </c>
      <c r="P104">
        <v>0</v>
      </c>
      <c r="Q104">
        <v>0</v>
      </c>
      <c r="R104" s="4">
        <v>0.69799999999999995</v>
      </c>
      <c r="S104" s="2">
        <v>1.1819999999999999</v>
      </c>
      <c r="T104" s="2">
        <v>1.0740000000000001</v>
      </c>
      <c r="U104" s="2">
        <v>1.6120000000000001</v>
      </c>
      <c r="V104" s="2">
        <v>1.24</v>
      </c>
      <c r="W104" s="2">
        <v>2.0150000000000001</v>
      </c>
      <c r="X104" s="2">
        <v>1.8</v>
      </c>
      <c r="Y104">
        <f t="shared" si="11"/>
        <v>67</v>
      </c>
      <c r="Z104">
        <f t="shared" si="12"/>
        <v>67</v>
      </c>
      <c r="AA104">
        <f t="shared" si="13"/>
        <v>54</v>
      </c>
      <c r="AB104">
        <f t="shared" si="14"/>
        <v>54</v>
      </c>
      <c r="AC104">
        <f t="shared" si="15"/>
        <v>54</v>
      </c>
      <c r="AD104">
        <f t="shared" si="16"/>
        <v>54</v>
      </c>
      <c r="AE104">
        <f t="shared" si="17"/>
        <v>54</v>
      </c>
      <c r="AF104">
        <v>0.85</v>
      </c>
      <c r="AG104">
        <v>0.75</v>
      </c>
      <c r="AH104">
        <v>0.5</v>
      </c>
      <c r="AI104">
        <v>0.65</v>
      </c>
      <c r="AJ104">
        <v>0.4</v>
      </c>
      <c r="AK104">
        <v>0.45</v>
      </c>
    </row>
    <row r="105" spans="1:38" x14ac:dyDescent="0.45">
      <c r="A105" t="s">
        <v>372</v>
      </c>
      <c r="B105" t="s">
        <v>37</v>
      </c>
      <c r="C105" t="s">
        <v>389</v>
      </c>
      <c r="D105" t="s">
        <v>390</v>
      </c>
      <c r="E105" t="s">
        <v>38</v>
      </c>
      <c r="F105" t="s">
        <v>391</v>
      </c>
      <c r="G105" t="s">
        <v>392</v>
      </c>
      <c r="H105" t="s">
        <v>41</v>
      </c>
      <c r="I105">
        <v>32.5</v>
      </c>
      <c r="J105">
        <v>25</v>
      </c>
      <c r="K105">
        <f>IFERROR(VLOOKUP(C105,[1]智慧家庭產品價格表.含稅!C:S,17,FALSE),0)</f>
        <v>1</v>
      </c>
      <c r="L105">
        <v>13</v>
      </c>
      <c r="M105">
        <f t="shared" si="9"/>
        <v>29.38</v>
      </c>
      <c r="N105">
        <v>20</v>
      </c>
      <c r="O105">
        <f t="shared" si="10"/>
        <v>975</v>
      </c>
      <c r="P105">
        <v>262</v>
      </c>
      <c r="Q105">
        <v>315</v>
      </c>
      <c r="R105" s="4">
        <v>3.1989999999999998</v>
      </c>
      <c r="S105" s="2">
        <v>1</v>
      </c>
      <c r="T105" s="2">
        <v>1.016</v>
      </c>
      <c r="U105" s="2">
        <v>1.048</v>
      </c>
      <c r="V105" s="2">
        <v>1.0249999999999999</v>
      </c>
      <c r="W105" s="2">
        <v>1.0720000000000001</v>
      </c>
      <c r="X105" s="2">
        <v>1.0580000000000001</v>
      </c>
      <c r="Y105">
        <f t="shared" si="11"/>
        <v>3119</v>
      </c>
      <c r="Z105">
        <f t="shared" si="12"/>
        <v>2651</v>
      </c>
      <c r="AA105">
        <f t="shared" si="13"/>
        <v>2377</v>
      </c>
      <c r="AB105">
        <f t="shared" si="14"/>
        <v>1634</v>
      </c>
      <c r="AC105">
        <f t="shared" si="15"/>
        <v>2078</v>
      </c>
      <c r="AD105">
        <f t="shared" si="16"/>
        <v>1337</v>
      </c>
      <c r="AE105">
        <f t="shared" si="17"/>
        <v>1485</v>
      </c>
      <c r="AF105">
        <v>0.85</v>
      </c>
      <c r="AG105">
        <v>0.75</v>
      </c>
      <c r="AH105">
        <v>0.5</v>
      </c>
      <c r="AI105">
        <v>0.65</v>
      </c>
      <c r="AJ105">
        <v>0.4</v>
      </c>
      <c r="AK105">
        <v>0.45</v>
      </c>
    </row>
    <row r="106" spans="1:38" x14ac:dyDescent="0.45">
      <c r="A106" t="s">
        <v>372</v>
      </c>
      <c r="B106" t="s">
        <v>37</v>
      </c>
      <c r="C106" t="s">
        <v>393</v>
      </c>
      <c r="D106" t="s">
        <v>394</v>
      </c>
      <c r="E106" t="s">
        <v>38</v>
      </c>
      <c r="F106" t="s">
        <v>395</v>
      </c>
      <c r="G106" t="s">
        <v>396</v>
      </c>
      <c r="H106" t="s">
        <v>41</v>
      </c>
      <c r="I106">
        <v>32.5</v>
      </c>
      <c r="J106">
        <v>36</v>
      </c>
      <c r="K106">
        <f>IFERROR(VLOOKUP(C106,[1]智慧家庭產品價格表.含稅!C:S,17,FALSE),0)</f>
        <v>1</v>
      </c>
      <c r="L106">
        <v>13</v>
      </c>
      <c r="M106">
        <f t="shared" si="9"/>
        <v>41.81</v>
      </c>
      <c r="N106">
        <v>20</v>
      </c>
      <c r="O106">
        <f t="shared" si="10"/>
        <v>1379</v>
      </c>
      <c r="P106">
        <v>210</v>
      </c>
      <c r="Q106">
        <v>315</v>
      </c>
      <c r="R106" s="4">
        <v>3.3690000000000002</v>
      </c>
      <c r="S106" s="2">
        <v>0.94099999999999995</v>
      </c>
      <c r="T106" s="2">
        <v>0.95199999999999996</v>
      </c>
      <c r="U106" s="2">
        <v>0.95199999999999996</v>
      </c>
      <c r="V106" s="2">
        <v>0.95199999999999996</v>
      </c>
      <c r="W106" s="2">
        <v>0.95199999999999996</v>
      </c>
      <c r="X106" s="2">
        <v>0.95299999999999996</v>
      </c>
      <c r="Y106">
        <f t="shared" si="11"/>
        <v>4646</v>
      </c>
      <c r="Z106">
        <f t="shared" si="12"/>
        <v>3716</v>
      </c>
      <c r="AA106">
        <f t="shared" si="13"/>
        <v>3317</v>
      </c>
      <c r="AB106">
        <f t="shared" si="14"/>
        <v>2211</v>
      </c>
      <c r="AC106">
        <f t="shared" si="15"/>
        <v>2875</v>
      </c>
      <c r="AD106">
        <f t="shared" si="16"/>
        <v>1769</v>
      </c>
      <c r="AE106">
        <f t="shared" si="17"/>
        <v>1992</v>
      </c>
      <c r="AF106">
        <v>0.85</v>
      </c>
      <c r="AG106">
        <v>0.75</v>
      </c>
      <c r="AH106">
        <v>0.5</v>
      </c>
      <c r="AI106">
        <v>0.65</v>
      </c>
      <c r="AJ106">
        <v>0.4</v>
      </c>
      <c r="AK106">
        <v>0.45</v>
      </c>
      <c r="AL106" t="s">
        <v>46</v>
      </c>
    </row>
    <row r="107" spans="1:38" x14ac:dyDescent="0.45">
      <c r="A107" t="s">
        <v>372</v>
      </c>
      <c r="B107" t="s">
        <v>37</v>
      </c>
      <c r="C107" t="s">
        <v>397</v>
      </c>
      <c r="D107" t="s">
        <v>398</v>
      </c>
      <c r="E107" t="s">
        <v>38</v>
      </c>
      <c r="F107" t="s">
        <v>399</v>
      </c>
      <c r="G107" t="s">
        <v>400</v>
      </c>
      <c r="H107" t="s">
        <v>41</v>
      </c>
      <c r="I107">
        <v>32.5</v>
      </c>
      <c r="J107">
        <v>29</v>
      </c>
      <c r="K107">
        <f>IFERROR(VLOOKUP(C107,[1]智慧家庭產品價格表.含稅!C:S,17,FALSE),0)</f>
        <v>2</v>
      </c>
      <c r="L107">
        <v>13</v>
      </c>
      <c r="M107">
        <f t="shared" si="9"/>
        <v>35.03</v>
      </c>
      <c r="N107">
        <v>20</v>
      </c>
      <c r="O107">
        <f t="shared" si="10"/>
        <v>1158</v>
      </c>
      <c r="P107">
        <v>262</v>
      </c>
      <c r="Q107">
        <v>315</v>
      </c>
      <c r="R107" s="4">
        <v>3.3050000000000002</v>
      </c>
      <c r="S107" s="2">
        <v>1</v>
      </c>
      <c r="T107" s="2">
        <v>1.016</v>
      </c>
      <c r="U107" s="2">
        <v>1.048</v>
      </c>
      <c r="V107" s="2">
        <v>1.0249999999999999</v>
      </c>
      <c r="W107" s="2">
        <v>1.071</v>
      </c>
      <c r="X107" s="2">
        <v>1.0580000000000001</v>
      </c>
      <c r="Y107">
        <f t="shared" si="11"/>
        <v>3827</v>
      </c>
      <c r="Z107">
        <f t="shared" si="12"/>
        <v>3253</v>
      </c>
      <c r="AA107">
        <f t="shared" si="13"/>
        <v>2916</v>
      </c>
      <c r="AB107">
        <f t="shared" si="14"/>
        <v>2005</v>
      </c>
      <c r="AC107">
        <f t="shared" si="15"/>
        <v>2550</v>
      </c>
      <c r="AD107">
        <f t="shared" si="16"/>
        <v>1639</v>
      </c>
      <c r="AE107">
        <f t="shared" si="17"/>
        <v>1822</v>
      </c>
      <c r="AF107">
        <v>0.85</v>
      </c>
      <c r="AG107">
        <v>0.75</v>
      </c>
      <c r="AH107">
        <v>0.5</v>
      </c>
      <c r="AI107">
        <v>0.65</v>
      </c>
      <c r="AJ107">
        <v>0.4</v>
      </c>
      <c r="AK107">
        <v>0.45</v>
      </c>
      <c r="AL107" t="s">
        <v>401</v>
      </c>
    </row>
    <row r="108" spans="1:38" x14ac:dyDescent="0.45">
      <c r="A108" t="s">
        <v>372</v>
      </c>
      <c r="B108" t="s">
        <v>37</v>
      </c>
      <c r="C108" t="s">
        <v>402</v>
      </c>
      <c r="D108" t="s">
        <v>403</v>
      </c>
      <c r="E108" t="s">
        <v>231</v>
      </c>
      <c r="F108" t="s">
        <v>404</v>
      </c>
      <c r="G108" t="s">
        <v>405</v>
      </c>
      <c r="H108" t="s">
        <v>41</v>
      </c>
      <c r="I108">
        <v>32.5</v>
      </c>
      <c r="J108">
        <v>79</v>
      </c>
      <c r="K108">
        <f>IFERROR(VLOOKUP(C108,[1]智慧家庭產品價格表.含稅!C:S,17,FALSE),0)</f>
        <v>1</v>
      </c>
      <c r="L108">
        <v>13</v>
      </c>
      <c r="M108">
        <f t="shared" si="9"/>
        <v>90.4</v>
      </c>
      <c r="N108">
        <v>20</v>
      </c>
      <c r="O108">
        <f t="shared" si="10"/>
        <v>2958</v>
      </c>
      <c r="P108">
        <v>210</v>
      </c>
      <c r="Q108">
        <v>315</v>
      </c>
      <c r="R108" s="4">
        <v>3.8130000000000002</v>
      </c>
      <c r="S108" s="2">
        <v>0.94099999999999995</v>
      </c>
      <c r="T108" s="2">
        <v>0.95199999999999996</v>
      </c>
      <c r="U108" s="2">
        <v>0.95199999999999996</v>
      </c>
      <c r="V108" s="2">
        <v>0.95199999999999996</v>
      </c>
      <c r="W108" s="2">
        <v>0.95199999999999996</v>
      </c>
      <c r="X108" s="2">
        <v>0.95199999999999996</v>
      </c>
      <c r="Y108">
        <f t="shared" si="11"/>
        <v>11279</v>
      </c>
      <c r="Z108">
        <f t="shared" si="12"/>
        <v>9022</v>
      </c>
      <c r="AA108">
        <f t="shared" si="13"/>
        <v>8053</v>
      </c>
      <c r="AB108">
        <f t="shared" si="14"/>
        <v>5369</v>
      </c>
      <c r="AC108">
        <f t="shared" si="15"/>
        <v>6979</v>
      </c>
      <c r="AD108">
        <f t="shared" si="16"/>
        <v>4295</v>
      </c>
      <c r="AE108">
        <f t="shared" si="17"/>
        <v>4832</v>
      </c>
      <c r="AF108">
        <v>0.85</v>
      </c>
      <c r="AG108">
        <v>0.75</v>
      </c>
      <c r="AH108">
        <v>0.5</v>
      </c>
      <c r="AI108">
        <v>0.65</v>
      </c>
      <c r="AJ108">
        <v>0.4</v>
      </c>
      <c r="AK108">
        <v>0.45</v>
      </c>
      <c r="AL108" t="s">
        <v>46</v>
      </c>
    </row>
    <row r="109" spans="1:38" x14ac:dyDescent="0.45">
      <c r="A109" t="s">
        <v>372</v>
      </c>
      <c r="B109" t="s">
        <v>37</v>
      </c>
      <c r="C109" t="s">
        <v>406</v>
      </c>
      <c r="D109" t="s">
        <v>407</v>
      </c>
      <c r="E109" t="s">
        <v>38</v>
      </c>
      <c r="F109" t="s">
        <v>408</v>
      </c>
      <c r="G109" t="s">
        <v>409</v>
      </c>
      <c r="H109" t="s">
        <v>41</v>
      </c>
      <c r="I109">
        <v>32.5</v>
      </c>
      <c r="J109">
        <v>17</v>
      </c>
      <c r="K109">
        <f>IFERROR(VLOOKUP(C109,[1]智慧家庭產品價格表.含稅!C:S,17,FALSE),0)</f>
        <v>1</v>
      </c>
      <c r="L109">
        <v>13</v>
      </c>
      <c r="M109">
        <f t="shared" si="9"/>
        <v>20.34</v>
      </c>
      <c r="N109">
        <v>20</v>
      </c>
      <c r="O109">
        <f t="shared" si="10"/>
        <v>681</v>
      </c>
      <c r="P109">
        <v>262</v>
      </c>
      <c r="Q109">
        <v>315</v>
      </c>
      <c r="R109" s="4">
        <v>3.4950000000000001</v>
      </c>
      <c r="S109" s="2">
        <v>1</v>
      </c>
      <c r="T109" s="2">
        <v>1.016</v>
      </c>
      <c r="U109" s="2">
        <v>1.048</v>
      </c>
      <c r="V109" s="2">
        <v>1.026</v>
      </c>
      <c r="W109" s="2">
        <v>1.071</v>
      </c>
      <c r="X109" s="2">
        <v>1.0580000000000001</v>
      </c>
      <c r="Y109">
        <f t="shared" si="11"/>
        <v>2380</v>
      </c>
      <c r="Z109">
        <f t="shared" si="12"/>
        <v>2023</v>
      </c>
      <c r="AA109">
        <f t="shared" si="13"/>
        <v>1814</v>
      </c>
      <c r="AB109">
        <f t="shared" si="14"/>
        <v>1247</v>
      </c>
      <c r="AC109">
        <f t="shared" si="15"/>
        <v>1587</v>
      </c>
      <c r="AD109">
        <f t="shared" si="16"/>
        <v>1020</v>
      </c>
      <c r="AE109">
        <f t="shared" si="17"/>
        <v>1133</v>
      </c>
      <c r="AF109">
        <v>0.85</v>
      </c>
      <c r="AG109">
        <v>0.75</v>
      </c>
      <c r="AH109">
        <v>0.5</v>
      </c>
      <c r="AI109">
        <v>0.65</v>
      </c>
      <c r="AJ109">
        <v>0.4</v>
      </c>
      <c r="AK109">
        <v>0.45</v>
      </c>
    </row>
    <row r="110" spans="1:38" x14ac:dyDescent="0.45">
      <c r="A110" t="s">
        <v>372</v>
      </c>
      <c r="B110" t="s">
        <v>37</v>
      </c>
      <c r="C110" t="s">
        <v>410</v>
      </c>
      <c r="D110" t="s">
        <v>411</v>
      </c>
      <c r="E110" t="s">
        <v>38</v>
      </c>
      <c r="F110" t="s">
        <v>412</v>
      </c>
      <c r="G110" t="s">
        <v>413</v>
      </c>
      <c r="H110" t="s">
        <v>41</v>
      </c>
      <c r="I110">
        <v>32.5</v>
      </c>
      <c r="J110">
        <v>22</v>
      </c>
      <c r="K110">
        <f>IFERROR(VLOOKUP(C110,[1]智慧家庭產品價格表.含稅!C:S,17,FALSE),0)</f>
        <v>1</v>
      </c>
      <c r="L110">
        <v>13</v>
      </c>
      <c r="M110">
        <f t="shared" si="9"/>
        <v>25.99</v>
      </c>
      <c r="N110">
        <v>20</v>
      </c>
      <c r="O110">
        <f t="shared" si="10"/>
        <v>865</v>
      </c>
      <c r="P110">
        <v>262</v>
      </c>
      <c r="Q110">
        <v>315</v>
      </c>
      <c r="R110" s="4">
        <v>3.3759999999999999</v>
      </c>
      <c r="S110" s="2">
        <v>0.94099999999999995</v>
      </c>
      <c r="T110" s="2">
        <v>0.95199999999999996</v>
      </c>
      <c r="U110" s="2">
        <v>0.95199999999999996</v>
      </c>
      <c r="V110" s="2">
        <v>0.95299999999999996</v>
      </c>
      <c r="W110" s="2">
        <v>0.95199999999999996</v>
      </c>
      <c r="X110" s="2">
        <v>0.95199999999999996</v>
      </c>
      <c r="Y110">
        <f t="shared" si="11"/>
        <v>2920</v>
      </c>
      <c r="Z110">
        <f t="shared" si="12"/>
        <v>2336</v>
      </c>
      <c r="AA110">
        <f t="shared" si="13"/>
        <v>2085</v>
      </c>
      <c r="AB110">
        <f t="shared" si="14"/>
        <v>1390</v>
      </c>
      <c r="AC110">
        <f t="shared" si="15"/>
        <v>1809</v>
      </c>
      <c r="AD110">
        <f t="shared" si="16"/>
        <v>1112</v>
      </c>
      <c r="AE110">
        <f t="shared" si="17"/>
        <v>1251</v>
      </c>
      <c r="AF110">
        <v>0.85</v>
      </c>
      <c r="AG110">
        <v>0.75</v>
      </c>
      <c r="AH110">
        <v>0.5</v>
      </c>
      <c r="AI110">
        <v>0.65</v>
      </c>
      <c r="AJ110">
        <v>0.4</v>
      </c>
      <c r="AK110">
        <v>0.45</v>
      </c>
      <c r="AL110" t="s">
        <v>414</v>
      </c>
    </row>
    <row r="111" spans="1:38" x14ac:dyDescent="0.45">
      <c r="A111" t="s">
        <v>372</v>
      </c>
      <c r="B111" t="s">
        <v>37</v>
      </c>
      <c r="C111" t="s">
        <v>415</v>
      </c>
      <c r="D111" t="s">
        <v>416</v>
      </c>
      <c r="E111" t="s">
        <v>38</v>
      </c>
      <c r="F111" t="s">
        <v>417</v>
      </c>
      <c r="G111" t="s">
        <v>418</v>
      </c>
      <c r="H111" t="s">
        <v>41</v>
      </c>
      <c r="I111">
        <v>32.5</v>
      </c>
      <c r="J111">
        <v>28</v>
      </c>
      <c r="K111">
        <f>IFERROR(VLOOKUP(C111,[1]智慧家庭產品價格表.含稅!C:S,17,FALSE),0)</f>
        <v>2</v>
      </c>
      <c r="L111">
        <v>13</v>
      </c>
      <c r="M111">
        <f t="shared" si="9"/>
        <v>33.9</v>
      </c>
      <c r="N111">
        <v>20</v>
      </c>
      <c r="O111">
        <f t="shared" si="10"/>
        <v>1122</v>
      </c>
      <c r="P111">
        <v>262</v>
      </c>
      <c r="Q111">
        <v>315</v>
      </c>
      <c r="R111" s="4">
        <v>3.8410000000000002</v>
      </c>
      <c r="S111" s="2">
        <v>0.94099999999999995</v>
      </c>
      <c r="T111" s="2">
        <v>0.95199999999999996</v>
      </c>
      <c r="U111" s="2">
        <v>0.95199999999999996</v>
      </c>
      <c r="V111" s="2">
        <v>0.95199999999999996</v>
      </c>
      <c r="W111" s="2">
        <v>0.95299999999999996</v>
      </c>
      <c r="X111" s="2">
        <v>0.95299999999999996</v>
      </c>
      <c r="Y111">
        <f t="shared" si="11"/>
        <v>4310</v>
      </c>
      <c r="Z111">
        <f t="shared" si="12"/>
        <v>3447</v>
      </c>
      <c r="AA111">
        <f t="shared" si="13"/>
        <v>3077</v>
      </c>
      <c r="AB111">
        <f t="shared" si="14"/>
        <v>2052</v>
      </c>
      <c r="AC111">
        <f t="shared" si="15"/>
        <v>2667</v>
      </c>
      <c r="AD111">
        <f t="shared" si="16"/>
        <v>1643</v>
      </c>
      <c r="AE111">
        <f t="shared" si="17"/>
        <v>1848</v>
      </c>
      <c r="AF111">
        <v>0.85</v>
      </c>
      <c r="AG111">
        <v>0.75</v>
      </c>
      <c r="AH111">
        <v>0.5</v>
      </c>
      <c r="AI111">
        <v>0.65</v>
      </c>
      <c r="AJ111">
        <v>0.4</v>
      </c>
      <c r="AK111">
        <v>0.45</v>
      </c>
      <c r="AL111" t="s">
        <v>414</v>
      </c>
    </row>
    <row r="112" spans="1:38" x14ac:dyDescent="0.45">
      <c r="A112" t="s">
        <v>372</v>
      </c>
      <c r="B112" t="s">
        <v>37</v>
      </c>
      <c r="C112" t="s">
        <v>419</v>
      </c>
      <c r="D112" t="s">
        <v>420</v>
      </c>
      <c r="E112" t="s">
        <v>38</v>
      </c>
      <c r="F112" t="s">
        <v>421</v>
      </c>
      <c r="G112" t="s">
        <v>422</v>
      </c>
      <c r="H112" t="s">
        <v>41</v>
      </c>
      <c r="I112">
        <v>32.5</v>
      </c>
      <c r="J112">
        <v>24</v>
      </c>
      <c r="K112">
        <f>IFERROR(VLOOKUP(C112,[1]智慧家庭產品價格表.含稅!C:S,17,FALSE),0)</f>
        <v>1</v>
      </c>
      <c r="L112">
        <v>13</v>
      </c>
      <c r="M112">
        <f t="shared" si="9"/>
        <v>28.25</v>
      </c>
      <c r="N112">
        <v>20</v>
      </c>
      <c r="O112">
        <f t="shared" si="10"/>
        <v>938</v>
      </c>
      <c r="P112">
        <v>52</v>
      </c>
      <c r="Q112">
        <v>315</v>
      </c>
      <c r="R112" s="4">
        <v>3.1589999999999998</v>
      </c>
      <c r="S112" s="2">
        <v>0.94099999999999995</v>
      </c>
      <c r="T112" s="2">
        <v>0.95199999999999996</v>
      </c>
      <c r="U112" s="2">
        <v>0.95199999999999996</v>
      </c>
      <c r="V112" s="2">
        <v>0.95199999999999996</v>
      </c>
      <c r="W112" s="2">
        <v>0.95299999999999996</v>
      </c>
      <c r="X112" s="2">
        <v>0.95299999999999996</v>
      </c>
      <c r="Y112">
        <f t="shared" si="11"/>
        <v>2963</v>
      </c>
      <c r="Z112">
        <f t="shared" si="12"/>
        <v>2370</v>
      </c>
      <c r="AA112">
        <f t="shared" si="13"/>
        <v>2116</v>
      </c>
      <c r="AB112">
        <f t="shared" si="14"/>
        <v>1410</v>
      </c>
      <c r="AC112">
        <f t="shared" si="15"/>
        <v>1834</v>
      </c>
      <c r="AD112">
        <f t="shared" si="16"/>
        <v>1129</v>
      </c>
      <c r="AE112">
        <f t="shared" si="17"/>
        <v>1271</v>
      </c>
      <c r="AF112">
        <v>0.85</v>
      </c>
      <c r="AG112">
        <v>0.75</v>
      </c>
      <c r="AH112">
        <v>0.5</v>
      </c>
      <c r="AI112">
        <v>0.65</v>
      </c>
      <c r="AJ112">
        <v>0.4</v>
      </c>
      <c r="AK112">
        <v>0.45</v>
      </c>
    </row>
    <row r="113" spans="1:38" x14ac:dyDescent="0.45">
      <c r="A113" t="s">
        <v>372</v>
      </c>
      <c r="B113" t="s">
        <v>37</v>
      </c>
      <c r="C113" t="s">
        <v>423</v>
      </c>
      <c r="D113" t="s">
        <v>424</v>
      </c>
      <c r="E113" t="s">
        <v>38</v>
      </c>
      <c r="F113" t="s">
        <v>421</v>
      </c>
      <c r="G113" t="s">
        <v>425</v>
      </c>
      <c r="H113" t="s">
        <v>41</v>
      </c>
      <c r="I113">
        <v>32.5</v>
      </c>
      <c r="J113">
        <v>24</v>
      </c>
      <c r="K113">
        <f>IFERROR(VLOOKUP(C113,[1]智慧家庭產品價格表.含稅!C:S,17,FALSE),0)</f>
        <v>1</v>
      </c>
      <c r="L113">
        <v>13</v>
      </c>
      <c r="M113">
        <f t="shared" si="9"/>
        <v>28.25</v>
      </c>
      <c r="N113">
        <v>20</v>
      </c>
      <c r="O113">
        <f t="shared" si="10"/>
        <v>938</v>
      </c>
      <c r="P113">
        <v>52</v>
      </c>
      <c r="Q113">
        <v>315</v>
      </c>
      <c r="R113" s="4">
        <v>3.1589999999999998</v>
      </c>
      <c r="S113" s="2">
        <v>0.94099999999999995</v>
      </c>
      <c r="T113" s="2">
        <v>0.95199999999999996</v>
      </c>
      <c r="U113" s="2">
        <v>0.95199999999999996</v>
      </c>
      <c r="V113" s="2">
        <v>0.95199999999999996</v>
      </c>
      <c r="W113" s="2">
        <v>0.95299999999999996</v>
      </c>
      <c r="X113" s="2">
        <v>0.95299999999999996</v>
      </c>
      <c r="Y113">
        <f t="shared" si="11"/>
        <v>2963</v>
      </c>
      <c r="Z113">
        <f t="shared" si="12"/>
        <v>2370</v>
      </c>
      <c r="AA113">
        <f t="shared" si="13"/>
        <v>2116</v>
      </c>
      <c r="AB113">
        <f t="shared" si="14"/>
        <v>1410</v>
      </c>
      <c r="AC113">
        <f t="shared" si="15"/>
        <v>1834</v>
      </c>
      <c r="AD113">
        <f t="shared" si="16"/>
        <v>1129</v>
      </c>
      <c r="AE113">
        <f t="shared" si="17"/>
        <v>1271</v>
      </c>
      <c r="AF113">
        <v>0.85</v>
      </c>
      <c r="AG113">
        <v>0.75</v>
      </c>
      <c r="AH113">
        <v>0.5</v>
      </c>
      <c r="AI113">
        <v>0.65</v>
      </c>
      <c r="AJ113">
        <v>0.4</v>
      </c>
      <c r="AK113">
        <v>0.45</v>
      </c>
    </row>
    <row r="114" spans="1:38" x14ac:dyDescent="0.45">
      <c r="A114" t="s">
        <v>372</v>
      </c>
      <c r="B114" t="s">
        <v>37</v>
      </c>
      <c r="C114" t="s">
        <v>426</v>
      </c>
      <c r="D114" t="s">
        <v>427</v>
      </c>
      <c r="E114" t="s">
        <v>38</v>
      </c>
      <c r="F114" t="s">
        <v>421</v>
      </c>
      <c r="G114" t="s">
        <v>428</v>
      </c>
      <c r="H114" t="s">
        <v>41</v>
      </c>
      <c r="I114">
        <v>32.5</v>
      </c>
      <c r="J114">
        <v>24</v>
      </c>
      <c r="K114">
        <f>IFERROR(VLOOKUP(C114,[1]智慧家庭產品價格表.含稅!C:S,17,FALSE),0)</f>
        <v>1</v>
      </c>
      <c r="L114">
        <v>13</v>
      </c>
      <c r="M114">
        <f t="shared" si="9"/>
        <v>28.25</v>
      </c>
      <c r="N114">
        <v>20</v>
      </c>
      <c r="O114">
        <f t="shared" si="10"/>
        <v>938</v>
      </c>
      <c r="P114">
        <v>52</v>
      </c>
      <c r="Q114">
        <v>315</v>
      </c>
      <c r="R114" s="4">
        <v>3.1589999999999998</v>
      </c>
      <c r="S114" s="2">
        <v>0.94099999999999995</v>
      </c>
      <c r="T114" s="2">
        <v>0.95199999999999996</v>
      </c>
      <c r="U114" s="2">
        <v>0.95199999999999996</v>
      </c>
      <c r="V114" s="2">
        <v>0.95199999999999996</v>
      </c>
      <c r="W114" s="2">
        <v>0.95299999999999996</v>
      </c>
      <c r="X114" s="2">
        <v>0.95299999999999996</v>
      </c>
      <c r="Y114">
        <f t="shared" si="11"/>
        <v>2963</v>
      </c>
      <c r="Z114">
        <f t="shared" si="12"/>
        <v>2370</v>
      </c>
      <c r="AA114">
        <f t="shared" si="13"/>
        <v>2116</v>
      </c>
      <c r="AB114">
        <f t="shared" si="14"/>
        <v>1410</v>
      </c>
      <c r="AC114">
        <f t="shared" si="15"/>
        <v>1834</v>
      </c>
      <c r="AD114">
        <f t="shared" si="16"/>
        <v>1129</v>
      </c>
      <c r="AE114">
        <f t="shared" si="17"/>
        <v>1271</v>
      </c>
      <c r="AF114">
        <v>0.85</v>
      </c>
      <c r="AG114">
        <v>0.75</v>
      </c>
      <c r="AH114">
        <v>0.5</v>
      </c>
      <c r="AI114">
        <v>0.65</v>
      </c>
      <c r="AJ114">
        <v>0.4</v>
      </c>
      <c r="AK114">
        <v>0.45</v>
      </c>
    </row>
    <row r="115" spans="1:38" x14ac:dyDescent="0.45">
      <c r="A115" t="s">
        <v>372</v>
      </c>
      <c r="B115" t="s">
        <v>37</v>
      </c>
      <c r="C115" t="s">
        <v>429</v>
      </c>
      <c r="D115" t="s">
        <v>430</v>
      </c>
      <c r="E115" t="s">
        <v>38</v>
      </c>
      <c r="F115" t="s">
        <v>431</v>
      </c>
      <c r="G115" t="s">
        <v>432</v>
      </c>
      <c r="H115" t="s">
        <v>41</v>
      </c>
      <c r="I115">
        <v>32.5</v>
      </c>
      <c r="J115">
        <v>22</v>
      </c>
      <c r="K115">
        <f>IFERROR(VLOOKUP(C115,[1]智慧家庭產品價格表.含稅!C:S,17,FALSE),0)</f>
        <v>3</v>
      </c>
      <c r="L115">
        <v>13</v>
      </c>
      <c r="M115">
        <f t="shared" si="9"/>
        <v>28.25</v>
      </c>
      <c r="N115">
        <v>20</v>
      </c>
      <c r="O115">
        <f t="shared" si="10"/>
        <v>938</v>
      </c>
      <c r="P115">
        <v>210</v>
      </c>
      <c r="Q115">
        <v>315</v>
      </c>
      <c r="R115" s="4">
        <v>3.625</v>
      </c>
      <c r="S115" s="2">
        <v>0.94099999999999995</v>
      </c>
      <c r="T115" s="2">
        <v>0.95199999999999996</v>
      </c>
      <c r="U115" s="2">
        <v>0.95199999999999996</v>
      </c>
      <c r="V115" s="2">
        <v>0.95199999999999996</v>
      </c>
      <c r="W115" s="2">
        <v>0.95199999999999996</v>
      </c>
      <c r="X115" s="2">
        <v>0.95199999999999996</v>
      </c>
      <c r="Y115">
        <f t="shared" si="11"/>
        <v>3400</v>
      </c>
      <c r="Z115">
        <f t="shared" si="12"/>
        <v>2719</v>
      </c>
      <c r="AA115">
        <f t="shared" si="13"/>
        <v>2428</v>
      </c>
      <c r="AB115">
        <f t="shared" si="14"/>
        <v>1618</v>
      </c>
      <c r="AC115">
        <f t="shared" si="15"/>
        <v>2104</v>
      </c>
      <c r="AD115">
        <f t="shared" si="16"/>
        <v>1295</v>
      </c>
      <c r="AE115">
        <f t="shared" si="17"/>
        <v>1457</v>
      </c>
      <c r="AF115">
        <v>0.85</v>
      </c>
      <c r="AG115">
        <v>0.75</v>
      </c>
      <c r="AH115">
        <v>0.5</v>
      </c>
      <c r="AI115">
        <v>0.65</v>
      </c>
      <c r="AJ115">
        <v>0.4</v>
      </c>
      <c r="AK115">
        <v>0.45</v>
      </c>
      <c r="AL115" t="s">
        <v>46</v>
      </c>
    </row>
    <row r="116" spans="1:38" x14ac:dyDescent="0.45">
      <c r="A116" t="s">
        <v>372</v>
      </c>
      <c r="B116" t="s">
        <v>37</v>
      </c>
      <c r="C116" t="s">
        <v>433</v>
      </c>
      <c r="D116" t="s">
        <v>434</v>
      </c>
      <c r="E116" t="s">
        <v>38</v>
      </c>
      <c r="F116" t="s">
        <v>431</v>
      </c>
      <c r="G116" t="s">
        <v>435</v>
      </c>
      <c r="H116" t="s">
        <v>41</v>
      </c>
      <c r="I116">
        <v>32.5</v>
      </c>
      <c r="J116">
        <v>22</v>
      </c>
      <c r="K116">
        <f>IFERROR(VLOOKUP(C116,[1]智慧家庭產品價格表.含稅!C:S,17,FALSE),0)</f>
        <v>0</v>
      </c>
      <c r="L116">
        <v>13</v>
      </c>
      <c r="M116">
        <f t="shared" si="9"/>
        <v>24.86</v>
      </c>
      <c r="N116">
        <v>20</v>
      </c>
      <c r="O116">
        <f t="shared" si="10"/>
        <v>828</v>
      </c>
      <c r="P116">
        <v>210</v>
      </c>
      <c r="Q116">
        <v>315</v>
      </c>
      <c r="R116" s="4">
        <v>4.1070000000000002</v>
      </c>
      <c r="S116" s="2">
        <v>0.94099999999999995</v>
      </c>
      <c r="T116" s="2">
        <v>0.95199999999999996</v>
      </c>
      <c r="U116" s="2">
        <v>0.95199999999999996</v>
      </c>
      <c r="V116" s="2">
        <v>0.95199999999999996</v>
      </c>
      <c r="W116" s="2">
        <v>0.95199999999999996</v>
      </c>
      <c r="X116" s="2">
        <v>0.95199999999999996</v>
      </c>
      <c r="Y116">
        <f t="shared" si="11"/>
        <v>3401</v>
      </c>
      <c r="Z116">
        <f t="shared" si="12"/>
        <v>2720</v>
      </c>
      <c r="AA116">
        <f t="shared" si="13"/>
        <v>2428</v>
      </c>
      <c r="AB116">
        <f t="shared" si="14"/>
        <v>1619</v>
      </c>
      <c r="AC116">
        <f t="shared" si="15"/>
        <v>2105</v>
      </c>
      <c r="AD116">
        <f t="shared" si="16"/>
        <v>1295</v>
      </c>
      <c r="AE116">
        <f t="shared" si="17"/>
        <v>1457</v>
      </c>
      <c r="AF116">
        <v>0.85</v>
      </c>
      <c r="AG116">
        <v>0.75</v>
      </c>
      <c r="AH116">
        <v>0.5</v>
      </c>
      <c r="AI116">
        <v>0.65</v>
      </c>
      <c r="AJ116">
        <v>0.4</v>
      </c>
      <c r="AK116">
        <v>0.45</v>
      </c>
      <c r="AL116" t="s">
        <v>46</v>
      </c>
    </row>
    <row r="117" spans="1:38" x14ac:dyDescent="0.45">
      <c r="A117" t="s">
        <v>372</v>
      </c>
      <c r="B117" t="s">
        <v>37</v>
      </c>
      <c r="C117" t="s">
        <v>436</v>
      </c>
      <c r="D117" t="s">
        <v>437</v>
      </c>
      <c r="E117" t="s">
        <v>38</v>
      </c>
      <c r="F117" t="s">
        <v>431</v>
      </c>
      <c r="G117" t="s">
        <v>438</v>
      </c>
      <c r="H117" t="s">
        <v>41</v>
      </c>
      <c r="I117">
        <v>32.5</v>
      </c>
      <c r="J117">
        <v>22</v>
      </c>
      <c r="K117">
        <f>IFERROR(VLOOKUP(C117,[1]智慧家庭產品價格表.含稅!C:S,17,FALSE),0)</f>
        <v>3</v>
      </c>
      <c r="L117">
        <v>13</v>
      </c>
      <c r="M117">
        <f t="shared" si="9"/>
        <v>28.25</v>
      </c>
      <c r="N117">
        <v>20</v>
      </c>
      <c r="O117">
        <f t="shared" si="10"/>
        <v>938</v>
      </c>
      <c r="P117">
        <v>210</v>
      </c>
      <c r="Q117">
        <v>315</v>
      </c>
      <c r="R117" s="4">
        <v>3.625</v>
      </c>
      <c r="S117" s="2">
        <v>0.94099999999999995</v>
      </c>
      <c r="T117" s="2">
        <v>0.95199999999999996</v>
      </c>
      <c r="U117" s="2">
        <v>0.95199999999999996</v>
      </c>
      <c r="V117" s="2">
        <v>0.95199999999999996</v>
      </c>
      <c r="W117" s="2">
        <v>0.95199999999999996</v>
      </c>
      <c r="X117" s="2">
        <v>0.95199999999999996</v>
      </c>
      <c r="Y117">
        <f t="shared" si="11"/>
        <v>3400</v>
      </c>
      <c r="Z117">
        <f t="shared" si="12"/>
        <v>2719</v>
      </c>
      <c r="AA117">
        <f t="shared" si="13"/>
        <v>2428</v>
      </c>
      <c r="AB117">
        <f t="shared" si="14"/>
        <v>1618</v>
      </c>
      <c r="AC117">
        <f t="shared" si="15"/>
        <v>2104</v>
      </c>
      <c r="AD117">
        <f t="shared" si="16"/>
        <v>1295</v>
      </c>
      <c r="AE117">
        <f t="shared" si="17"/>
        <v>1457</v>
      </c>
      <c r="AF117">
        <v>0.85</v>
      </c>
      <c r="AG117">
        <v>0.75</v>
      </c>
      <c r="AH117">
        <v>0.5</v>
      </c>
      <c r="AI117">
        <v>0.65</v>
      </c>
      <c r="AJ117">
        <v>0.4</v>
      </c>
      <c r="AK117">
        <v>0.45</v>
      </c>
      <c r="AL117" t="s">
        <v>46</v>
      </c>
    </row>
    <row r="118" spans="1:38" x14ac:dyDescent="0.45">
      <c r="A118" t="s">
        <v>372</v>
      </c>
      <c r="B118" t="s">
        <v>37</v>
      </c>
      <c r="C118" t="s">
        <v>439</v>
      </c>
      <c r="D118" t="s">
        <v>440</v>
      </c>
      <c r="E118" t="s">
        <v>38</v>
      </c>
      <c r="F118" t="s">
        <v>431</v>
      </c>
      <c r="G118" t="s">
        <v>441</v>
      </c>
      <c r="H118" t="s">
        <v>41</v>
      </c>
      <c r="I118">
        <v>32.5</v>
      </c>
      <c r="J118">
        <v>24</v>
      </c>
      <c r="K118">
        <f>IFERROR(VLOOKUP(C118,[1]智慧家庭產品價格表.含稅!C:S,17,FALSE),0)</f>
        <v>3</v>
      </c>
      <c r="L118">
        <v>13</v>
      </c>
      <c r="M118">
        <f t="shared" si="9"/>
        <v>30.51</v>
      </c>
      <c r="N118">
        <v>20</v>
      </c>
      <c r="O118">
        <f t="shared" si="10"/>
        <v>1012</v>
      </c>
      <c r="P118">
        <v>210</v>
      </c>
      <c r="Q118">
        <v>315</v>
      </c>
      <c r="R118" s="4">
        <v>3.36</v>
      </c>
      <c r="S118" s="2">
        <v>0.94099999999999995</v>
      </c>
      <c r="T118" s="2">
        <v>0.95199999999999996</v>
      </c>
      <c r="U118" s="2">
        <v>0.95199999999999996</v>
      </c>
      <c r="V118" s="2">
        <v>0.95199999999999996</v>
      </c>
      <c r="W118" s="2">
        <v>0.95199999999999996</v>
      </c>
      <c r="X118" s="2">
        <v>0.95199999999999996</v>
      </c>
      <c r="Y118">
        <f t="shared" si="11"/>
        <v>3400</v>
      </c>
      <c r="Z118">
        <f t="shared" si="12"/>
        <v>2719</v>
      </c>
      <c r="AA118">
        <f t="shared" si="13"/>
        <v>2428</v>
      </c>
      <c r="AB118">
        <f t="shared" si="14"/>
        <v>1618</v>
      </c>
      <c r="AC118">
        <f t="shared" si="15"/>
        <v>2104</v>
      </c>
      <c r="AD118">
        <f t="shared" si="16"/>
        <v>1295</v>
      </c>
      <c r="AE118">
        <f t="shared" si="17"/>
        <v>1457</v>
      </c>
      <c r="AF118">
        <v>0.85</v>
      </c>
      <c r="AG118">
        <v>0.75</v>
      </c>
      <c r="AH118">
        <v>0.5</v>
      </c>
      <c r="AI118">
        <v>0.65</v>
      </c>
      <c r="AJ118">
        <v>0.4</v>
      </c>
      <c r="AK118">
        <v>0.45</v>
      </c>
      <c r="AL118" t="s">
        <v>46</v>
      </c>
    </row>
    <row r="119" spans="1:38" x14ac:dyDescent="0.45">
      <c r="A119" t="s">
        <v>372</v>
      </c>
      <c r="B119" t="s">
        <v>37</v>
      </c>
      <c r="C119" t="s">
        <v>442</v>
      </c>
      <c r="D119" t="s">
        <v>443</v>
      </c>
      <c r="E119" t="s">
        <v>38</v>
      </c>
      <c r="F119" t="s">
        <v>431</v>
      </c>
      <c r="G119" t="s">
        <v>444</v>
      </c>
      <c r="H119" t="s">
        <v>41</v>
      </c>
      <c r="I119">
        <v>32.5</v>
      </c>
      <c r="J119">
        <v>24</v>
      </c>
      <c r="K119">
        <f>IFERROR(VLOOKUP(C119,[1]智慧家庭產品價格表.含稅!C:S,17,FALSE),0)</f>
        <v>3</v>
      </c>
      <c r="L119">
        <v>13</v>
      </c>
      <c r="M119">
        <f t="shared" si="9"/>
        <v>30.51</v>
      </c>
      <c r="N119">
        <v>20</v>
      </c>
      <c r="O119">
        <f t="shared" si="10"/>
        <v>1012</v>
      </c>
      <c r="P119">
        <v>210</v>
      </c>
      <c r="Q119">
        <v>315</v>
      </c>
      <c r="R119" s="4">
        <v>3.36</v>
      </c>
      <c r="S119" s="2">
        <v>0.94099999999999995</v>
      </c>
      <c r="T119" s="2">
        <v>0.95199999999999996</v>
      </c>
      <c r="U119" s="2">
        <v>0.95199999999999996</v>
      </c>
      <c r="V119" s="2">
        <v>0.95199999999999996</v>
      </c>
      <c r="W119" s="2">
        <v>0.95199999999999996</v>
      </c>
      <c r="X119" s="2">
        <v>0.95199999999999996</v>
      </c>
      <c r="Y119">
        <f t="shared" si="11"/>
        <v>3400</v>
      </c>
      <c r="Z119">
        <f t="shared" si="12"/>
        <v>2719</v>
      </c>
      <c r="AA119">
        <f t="shared" si="13"/>
        <v>2428</v>
      </c>
      <c r="AB119">
        <f t="shared" si="14"/>
        <v>1618</v>
      </c>
      <c r="AC119">
        <f t="shared" si="15"/>
        <v>2104</v>
      </c>
      <c r="AD119">
        <f t="shared" si="16"/>
        <v>1295</v>
      </c>
      <c r="AE119">
        <f t="shared" si="17"/>
        <v>1457</v>
      </c>
      <c r="AF119">
        <v>0.85</v>
      </c>
      <c r="AG119">
        <v>0.75</v>
      </c>
      <c r="AH119">
        <v>0.5</v>
      </c>
      <c r="AI119">
        <v>0.65</v>
      </c>
      <c r="AJ119">
        <v>0.4</v>
      </c>
      <c r="AK119">
        <v>0.45</v>
      </c>
      <c r="AL119" t="s">
        <v>46</v>
      </c>
    </row>
    <row r="120" spans="1:38" x14ac:dyDescent="0.45">
      <c r="A120" t="s">
        <v>372</v>
      </c>
      <c r="B120" t="s">
        <v>37</v>
      </c>
      <c r="C120" t="s">
        <v>445</v>
      </c>
      <c r="D120" t="s">
        <v>446</v>
      </c>
      <c r="E120" t="s">
        <v>38</v>
      </c>
      <c r="F120" t="s">
        <v>431</v>
      </c>
      <c r="G120" t="s">
        <v>447</v>
      </c>
      <c r="H120" t="s">
        <v>41</v>
      </c>
      <c r="I120">
        <v>32.5</v>
      </c>
      <c r="J120">
        <v>24</v>
      </c>
      <c r="K120">
        <f>IFERROR(VLOOKUP(C120,[1]智慧家庭產品價格表.含稅!C:S,17,FALSE),0)</f>
        <v>3</v>
      </c>
      <c r="L120">
        <v>13</v>
      </c>
      <c r="M120">
        <f t="shared" si="9"/>
        <v>30.51</v>
      </c>
      <c r="N120">
        <v>20</v>
      </c>
      <c r="O120">
        <f t="shared" si="10"/>
        <v>1012</v>
      </c>
      <c r="P120">
        <v>210</v>
      </c>
      <c r="Q120">
        <v>315</v>
      </c>
      <c r="R120" s="4">
        <v>3.36</v>
      </c>
      <c r="S120" s="2">
        <v>0.94099999999999995</v>
      </c>
      <c r="T120" s="2">
        <v>0.95199999999999996</v>
      </c>
      <c r="U120" s="2">
        <v>0.95199999999999996</v>
      </c>
      <c r="V120" s="2">
        <v>0.95199999999999996</v>
      </c>
      <c r="W120" s="2">
        <v>0.95199999999999996</v>
      </c>
      <c r="X120" s="2">
        <v>0.95199999999999996</v>
      </c>
      <c r="Y120">
        <f t="shared" si="11"/>
        <v>3400</v>
      </c>
      <c r="Z120">
        <f t="shared" si="12"/>
        <v>2719</v>
      </c>
      <c r="AA120">
        <f t="shared" si="13"/>
        <v>2428</v>
      </c>
      <c r="AB120">
        <f t="shared" si="14"/>
        <v>1618</v>
      </c>
      <c r="AC120">
        <f t="shared" si="15"/>
        <v>2104</v>
      </c>
      <c r="AD120">
        <f t="shared" si="16"/>
        <v>1295</v>
      </c>
      <c r="AE120">
        <f t="shared" si="17"/>
        <v>1457</v>
      </c>
      <c r="AF120">
        <v>0.85</v>
      </c>
      <c r="AG120">
        <v>0.75</v>
      </c>
      <c r="AH120">
        <v>0.5</v>
      </c>
      <c r="AI120">
        <v>0.65</v>
      </c>
      <c r="AJ120">
        <v>0.4</v>
      </c>
      <c r="AK120">
        <v>0.45</v>
      </c>
      <c r="AL120" t="s">
        <v>46</v>
      </c>
    </row>
    <row r="121" spans="1:38" x14ac:dyDescent="0.45">
      <c r="A121" t="s">
        <v>372</v>
      </c>
      <c r="B121" t="s">
        <v>37</v>
      </c>
      <c r="C121" t="s">
        <v>448</v>
      </c>
      <c r="D121" t="s">
        <v>449</v>
      </c>
      <c r="E121" t="s">
        <v>38</v>
      </c>
      <c r="F121" t="s">
        <v>431</v>
      </c>
      <c r="G121" t="s">
        <v>450</v>
      </c>
      <c r="H121" t="s">
        <v>41</v>
      </c>
      <c r="I121">
        <v>32.5</v>
      </c>
      <c r="J121">
        <v>25</v>
      </c>
      <c r="K121">
        <f>IFERROR(VLOOKUP(C121,[1]智慧家庭產品價格表.含稅!C:S,17,FALSE),0)</f>
        <v>3</v>
      </c>
      <c r="L121">
        <v>13</v>
      </c>
      <c r="M121">
        <f t="shared" si="9"/>
        <v>31.64</v>
      </c>
      <c r="N121">
        <v>20</v>
      </c>
      <c r="O121">
        <f t="shared" si="10"/>
        <v>1048</v>
      </c>
      <c r="P121">
        <v>210</v>
      </c>
      <c r="Q121">
        <v>315</v>
      </c>
      <c r="R121" s="4">
        <v>3.2450000000000001</v>
      </c>
      <c r="S121" s="2">
        <v>0.94099999999999995</v>
      </c>
      <c r="T121" s="2">
        <v>0.95199999999999996</v>
      </c>
      <c r="U121" s="2">
        <v>0.95199999999999996</v>
      </c>
      <c r="V121" s="2">
        <v>0.95199999999999996</v>
      </c>
      <c r="W121" s="2">
        <v>0.95199999999999996</v>
      </c>
      <c r="X121" s="2">
        <v>0.95199999999999996</v>
      </c>
      <c r="Y121">
        <f t="shared" si="11"/>
        <v>3401</v>
      </c>
      <c r="Z121">
        <f t="shared" si="12"/>
        <v>2720</v>
      </c>
      <c r="AA121">
        <f t="shared" si="13"/>
        <v>2428</v>
      </c>
      <c r="AB121">
        <f t="shared" si="14"/>
        <v>1619</v>
      </c>
      <c r="AC121">
        <f t="shared" si="15"/>
        <v>2105</v>
      </c>
      <c r="AD121">
        <f t="shared" si="16"/>
        <v>1295</v>
      </c>
      <c r="AE121">
        <f t="shared" si="17"/>
        <v>1457</v>
      </c>
      <c r="AF121">
        <v>0.85</v>
      </c>
      <c r="AG121">
        <v>0.75</v>
      </c>
      <c r="AH121">
        <v>0.5</v>
      </c>
      <c r="AI121">
        <v>0.65</v>
      </c>
      <c r="AJ121">
        <v>0.4</v>
      </c>
      <c r="AK121">
        <v>0.45</v>
      </c>
      <c r="AL121" t="s">
        <v>46</v>
      </c>
    </row>
    <row r="122" spans="1:38" x14ac:dyDescent="0.45">
      <c r="A122" t="s">
        <v>372</v>
      </c>
      <c r="B122" t="s">
        <v>37</v>
      </c>
      <c r="C122" t="s">
        <v>451</v>
      </c>
      <c r="D122" t="s">
        <v>452</v>
      </c>
      <c r="E122" t="s">
        <v>38</v>
      </c>
      <c r="F122" t="s">
        <v>431</v>
      </c>
      <c r="G122" t="s">
        <v>453</v>
      </c>
      <c r="H122" t="s">
        <v>41</v>
      </c>
      <c r="I122">
        <v>32.5</v>
      </c>
      <c r="J122">
        <v>25</v>
      </c>
      <c r="K122">
        <f>IFERROR(VLOOKUP(C122,[1]智慧家庭產品價格表.含稅!C:S,17,FALSE),0)</f>
        <v>3</v>
      </c>
      <c r="L122">
        <v>13</v>
      </c>
      <c r="M122">
        <f t="shared" si="9"/>
        <v>31.64</v>
      </c>
      <c r="N122">
        <v>20</v>
      </c>
      <c r="O122">
        <f t="shared" si="10"/>
        <v>1048</v>
      </c>
      <c r="P122">
        <v>210</v>
      </c>
      <c r="Q122">
        <v>315</v>
      </c>
      <c r="R122" s="4">
        <v>3.2450000000000001</v>
      </c>
      <c r="S122" s="2">
        <v>0.94099999999999995</v>
      </c>
      <c r="T122" s="2">
        <v>0.95199999999999996</v>
      </c>
      <c r="U122" s="2">
        <v>0.95199999999999996</v>
      </c>
      <c r="V122" s="2">
        <v>0.95199999999999996</v>
      </c>
      <c r="W122" s="2">
        <v>0.95199999999999996</v>
      </c>
      <c r="X122" s="2">
        <v>0.95199999999999996</v>
      </c>
      <c r="Y122">
        <f t="shared" si="11"/>
        <v>3401</v>
      </c>
      <c r="Z122">
        <f t="shared" si="12"/>
        <v>2720</v>
      </c>
      <c r="AA122">
        <f t="shared" si="13"/>
        <v>2428</v>
      </c>
      <c r="AB122">
        <f t="shared" si="14"/>
        <v>1619</v>
      </c>
      <c r="AC122">
        <f t="shared" si="15"/>
        <v>2105</v>
      </c>
      <c r="AD122">
        <f t="shared" si="16"/>
        <v>1295</v>
      </c>
      <c r="AE122">
        <f t="shared" si="17"/>
        <v>1457</v>
      </c>
      <c r="AF122">
        <v>0.85</v>
      </c>
      <c r="AG122">
        <v>0.75</v>
      </c>
      <c r="AH122">
        <v>0.5</v>
      </c>
      <c r="AI122">
        <v>0.65</v>
      </c>
      <c r="AJ122">
        <v>0.4</v>
      </c>
      <c r="AK122">
        <v>0.45</v>
      </c>
      <c r="AL122" t="s">
        <v>46</v>
      </c>
    </row>
    <row r="123" spans="1:38" x14ac:dyDescent="0.45">
      <c r="A123" t="s">
        <v>372</v>
      </c>
      <c r="B123" t="s">
        <v>37</v>
      </c>
      <c r="C123" t="s">
        <v>454</v>
      </c>
      <c r="D123" t="s">
        <v>455</v>
      </c>
      <c r="E123" t="s">
        <v>38</v>
      </c>
      <c r="F123" t="s">
        <v>431</v>
      </c>
      <c r="G123" t="s">
        <v>456</v>
      </c>
      <c r="H123" t="s">
        <v>41</v>
      </c>
      <c r="I123">
        <v>32.5</v>
      </c>
      <c r="J123">
        <v>25</v>
      </c>
      <c r="K123">
        <f>IFERROR(VLOOKUP(C123,[1]智慧家庭產品價格表.含稅!C:S,17,FALSE),0)</f>
        <v>3</v>
      </c>
      <c r="L123">
        <v>13</v>
      </c>
      <c r="M123">
        <f t="shared" si="9"/>
        <v>31.64</v>
      </c>
      <c r="N123">
        <v>20</v>
      </c>
      <c r="O123">
        <f t="shared" si="10"/>
        <v>1048</v>
      </c>
      <c r="P123">
        <v>210</v>
      </c>
      <c r="Q123">
        <v>315</v>
      </c>
      <c r="R123" s="4">
        <v>3.2450000000000001</v>
      </c>
      <c r="S123" s="2">
        <v>0.94099999999999995</v>
      </c>
      <c r="T123" s="2">
        <v>0.95199999999999996</v>
      </c>
      <c r="U123" s="2">
        <v>0.95199999999999996</v>
      </c>
      <c r="V123" s="2">
        <v>0.95199999999999996</v>
      </c>
      <c r="W123" s="2">
        <v>0.95199999999999996</v>
      </c>
      <c r="X123" s="2">
        <v>0.95199999999999996</v>
      </c>
      <c r="Y123">
        <f t="shared" si="11"/>
        <v>3401</v>
      </c>
      <c r="Z123">
        <f t="shared" si="12"/>
        <v>2720</v>
      </c>
      <c r="AA123">
        <f t="shared" si="13"/>
        <v>2428</v>
      </c>
      <c r="AB123">
        <f t="shared" si="14"/>
        <v>1619</v>
      </c>
      <c r="AC123">
        <f t="shared" si="15"/>
        <v>2105</v>
      </c>
      <c r="AD123">
        <f t="shared" si="16"/>
        <v>1295</v>
      </c>
      <c r="AE123">
        <f t="shared" si="17"/>
        <v>1457</v>
      </c>
      <c r="AF123">
        <v>0.85</v>
      </c>
      <c r="AG123">
        <v>0.75</v>
      </c>
      <c r="AH123">
        <v>0.5</v>
      </c>
      <c r="AI123">
        <v>0.65</v>
      </c>
      <c r="AJ123">
        <v>0.4</v>
      </c>
      <c r="AK123">
        <v>0.45</v>
      </c>
      <c r="AL123" t="s">
        <v>46</v>
      </c>
    </row>
    <row r="124" spans="1:38" x14ac:dyDescent="0.45">
      <c r="A124" t="s">
        <v>372</v>
      </c>
      <c r="B124" t="s">
        <v>37</v>
      </c>
      <c r="C124" t="s">
        <v>457</v>
      </c>
      <c r="D124" t="s">
        <v>458</v>
      </c>
      <c r="E124" t="s">
        <v>38</v>
      </c>
      <c r="F124" t="s">
        <v>459</v>
      </c>
      <c r="G124" t="s">
        <v>460</v>
      </c>
      <c r="H124" t="s">
        <v>41</v>
      </c>
      <c r="I124">
        <v>32.5</v>
      </c>
      <c r="J124">
        <v>26</v>
      </c>
      <c r="K124">
        <f>IFERROR(VLOOKUP(C124,[1]智慧家庭產品價格表.含稅!C:S,17,FALSE),0)</f>
        <v>3</v>
      </c>
      <c r="L124">
        <v>13</v>
      </c>
      <c r="M124">
        <f t="shared" si="9"/>
        <v>32.770000000000003</v>
      </c>
      <c r="N124">
        <v>20</v>
      </c>
      <c r="O124">
        <f t="shared" si="10"/>
        <v>1085</v>
      </c>
      <c r="P124">
        <v>210</v>
      </c>
      <c r="Q124">
        <v>315</v>
      </c>
      <c r="R124" s="4">
        <v>3.3180000000000001</v>
      </c>
      <c r="S124" s="2">
        <v>0.94099999999999995</v>
      </c>
      <c r="T124" s="2">
        <v>0.95199999999999996</v>
      </c>
      <c r="U124" s="2">
        <v>0.95199999999999996</v>
      </c>
      <c r="V124" s="2">
        <v>0.95299999999999996</v>
      </c>
      <c r="W124" s="2">
        <v>0.95199999999999996</v>
      </c>
      <c r="X124" s="2">
        <v>0.95199999999999996</v>
      </c>
      <c r="Y124">
        <f t="shared" si="11"/>
        <v>3600</v>
      </c>
      <c r="Z124">
        <f t="shared" si="12"/>
        <v>2879</v>
      </c>
      <c r="AA124">
        <f t="shared" si="13"/>
        <v>2570</v>
      </c>
      <c r="AB124">
        <f t="shared" si="14"/>
        <v>1714</v>
      </c>
      <c r="AC124">
        <f t="shared" si="15"/>
        <v>2230</v>
      </c>
      <c r="AD124">
        <f t="shared" si="16"/>
        <v>1371</v>
      </c>
      <c r="AE124">
        <f t="shared" si="17"/>
        <v>1542</v>
      </c>
      <c r="AF124">
        <v>0.85</v>
      </c>
      <c r="AG124">
        <v>0.75</v>
      </c>
      <c r="AH124">
        <v>0.5</v>
      </c>
      <c r="AI124">
        <v>0.65</v>
      </c>
      <c r="AJ124">
        <v>0.4</v>
      </c>
      <c r="AK124">
        <v>0.45</v>
      </c>
      <c r="AL124" t="s">
        <v>46</v>
      </c>
    </row>
    <row r="125" spans="1:38" x14ac:dyDescent="0.45">
      <c r="A125" t="s">
        <v>372</v>
      </c>
      <c r="B125" t="s">
        <v>37</v>
      </c>
      <c r="C125" t="s">
        <v>461</v>
      </c>
      <c r="D125" t="s">
        <v>462</v>
      </c>
      <c r="E125" t="s">
        <v>38</v>
      </c>
      <c r="F125" t="s">
        <v>459</v>
      </c>
      <c r="G125" t="s">
        <v>463</v>
      </c>
      <c r="H125" t="s">
        <v>41</v>
      </c>
      <c r="I125">
        <v>32.5</v>
      </c>
      <c r="J125">
        <v>26</v>
      </c>
      <c r="K125">
        <f>IFERROR(VLOOKUP(C125,[1]智慧家庭產品價格表.含稅!C:S,17,FALSE),0)</f>
        <v>3</v>
      </c>
      <c r="L125">
        <v>13</v>
      </c>
      <c r="M125">
        <f t="shared" si="9"/>
        <v>32.770000000000003</v>
      </c>
      <c r="N125">
        <v>20</v>
      </c>
      <c r="O125">
        <f t="shared" si="10"/>
        <v>1085</v>
      </c>
      <c r="P125">
        <v>210</v>
      </c>
      <c r="Q125">
        <v>315</v>
      </c>
      <c r="R125" s="4">
        <v>3.61</v>
      </c>
      <c r="S125" s="2">
        <v>0.94099999999999995</v>
      </c>
      <c r="T125" s="2">
        <v>0.95199999999999996</v>
      </c>
      <c r="U125" s="2">
        <v>0.95199999999999996</v>
      </c>
      <c r="V125" s="2">
        <v>0.95199999999999996</v>
      </c>
      <c r="W125" s="2">
        <v>0.95199999999999996</v>
      </c>
      <c r="X125" s="2">
        <v>0.95199999999999996</v>
      </c>
      <c r="Y125">
        <f t="shared" si="11"/>
        <v>3917</v>
      </c>
      <c r="Z125">
        <f t="shared" si="12"/>
        <v>3133</v>
      </c>
      <c r="AA125">
        <f t="shared" si="13"/>
        <v>2797</v>
      </c>
      <c r="AB125">
        <f t="shared" si="14"/>
        <v>1864</v>
      </c>
      <c r="AC125">
        <f t="shared" si="15"/>
        <v>2424</v>
      </c>
      <c r="AD125">
        <f t="shared" si="16"/>
        <v>1492</v>
      </c>
      <c r="AE125">
        <f t="shared" si="17"/>
        <v>1678</v>
      </c>
      <c r="AF125">
        <v>0.85</v>
      </c>
      <c r="AG125">
        <v>0.75</v>
      </c>
      <c r="AH125">
        <v>0.5</v>
      </c>
      <c r="AI125">
        <v>0.65</v>
      </c>
      <c r="AJ125">
        <v>0.4</v>
      </c>
      <c r="AK125">
        <v>0.45</v>
      </c>
      <c r="AL125" t="s">
        <v>46</v>
      </c>
    </row>
    <row r="126" spans="1:38" x14ac:dyDescent="0.45">
      <c r="A126" t="s">
        <v>372</v>
      </c>
      <c r="B126" t="s">
        <v>37</v>
      </c>
      <c r="C126" t="s">
        <v>464</v>
      </c>
      <c r="D126" t="s">
        <v>465</v>
      </c>
      <c r="E126" t="s">
        <v>38</v>
      </c>
      <c r="F126" t="s">
        <v>459</v>
      </c>
      <c r="G126" t="s">
        <v>466</v>
      </c>
      <c r="H126" t="s">
        <v>41</v>
      </c>
      <c r="I126">
        <v>32.5</v>
      </c>
      <c r="J126">
        <v>26</v>
      </c>
      <c r="K126">
        <f>IFERROR(VLOOKUP(C126,[1]智慧家庭產品價格表.含稅!C:S,17,FALSE),0)</f>
        <v>3</v>
      </c>
      <c r="L126">
        <v>13</v>
      </c>
      <c r="M126">
        <f t="shared" si="9"/>
        <v>32.770000000000003</v>
      </c>
      <c r="N126">
        <v>20</v>
      </c>
      <c r="O126">
        <f t="shared" si="10"/>
        <v>1085</v>
      </c>
      <c r="P126">
        <v>210</v>
      </c>
      <c r="Q126">
        <v>315</v>
      </c>
      <c r="R126" s="4">
        <v>3.3180000000000001</v>
      </c>
      <c r="S126" s="2">
        <v>0.94099999999999995</v>
      </c>
      <c r="T126" s="2">
        <v>0.95199999999999996</v>
      </c>
      <c r="U126" s="2">
        <v>0.95199999999999996</v>
      </c>
      <c r="V126" s="2">
        <v>0.95299999999999996</v>
      </c>
      <c r="W126" s="2">
        <v>0.95199999999999996</v>
      </c>
      <c r="X126" s="2">
        <v>0.95199999999999996</v>
      </c>
      <c r="Y126">
        <f t="shared" si="11"/>
        <v>3600</v>
      </c>
      <c r="Z126">
        <f t="shared" si="12"/>
        <v>2879</v>
      </c>
      <c r="AA126">
        <f t="shared" si="13"/>
        <v>2570</v>
      </c>
      <c r="AB126">
        <f t="shared" si="14"/>
        <v>1714</v>
      </c>
      <c r="AC126">
        <f t="shared" si="15"/>
        <v>2230</v>
      </c>
      <c r="AD126">
        <f t="shared" si="16"/>
        <v>1371</v>
      </c>
      <c r="AE126">
        <f t="shared" si="17"/>
        <v>1542</v>
      </c>
      <c r="AF126">
        <v>0.85</v>
      </c>
      <c r="AG126">
        <v>0.75</v>
      </c>
      <c r="AH126">
        <v>0.5</v>
      </c>
      <c r="AI126">
        <v>0.65</v>
      </c>
      <c r="AJ126">
        <v>0.4</v>
      </c>
      <c r="AK126">
        <v>0.45</v>
      </c>
      <c r="AL126" t="s">
        <v>46</v>
      </c>
    </row>
    <row r="127" spans="1:38" x14ac:dyDescent="0.45">
      <c r="A127" t="s">
        <v>372</v>
      </c>
      <c r="B127" t="s">
        <v>37</v>
      </c>
      <c r="C127" t="s">
        <v>467</v>
      </c>
      <c r="D127" t="s">
        <v>468</v>
      </c>
      <c r="E127" t="s">
        <v>38</v>
      </c>
      <c r="F127" t="s">
        <v>469</v>
      </c>
      <c r="G127" t="s">
        <v>470</v>
      </c>
      <c r="H127" t="s">
        <v>41</v>
      </c>
      <c r="I127">
        <v>32.5</v>
      </c>
      <c r="J127">
        <v>24</v>
      </c>
      <c r="K127">
        <f>IFERROR(VLOOKUP(C127,[1]智慧家庭產品價格表.含稅!C:S,17,FALSE),0)</f>
        <v>6</v>
      </c>
      <c r="L127">
        <v>13</v>
      </c>
      <c r="M127">
        <f t="shared" si="9"/>
        <v>33.9</v>
      </c>
      <c r="N127">
        <v>20</v>
      </c>
      <c r="O127">
        <f t="shared" si="10"/>
        <v>1122</v>
      </c>
      <c r="P127">
        <v>210</v>
      </c>
      <c r="Q127">
        <v>315</v>
      </c>
      <c r="R127" s="4">
        <v>3.55</v>
      </c>
      <c r="S127" s="2">
        <v>0.94099999999999995</v>
      </c>
      <c r="T127" s="2">
        <v>0.95199999999999996</v>
      </c>
      <c r="U127" s="2">
        <v>0.95299999999999996</v>
      </c>
      <c r="V127" s="2">
        <v>0.95199999999999996</v>
      </c>
      <c r="W127" s="2">
        <v>0.95299999999999996</v>
      </c>
      <c r="X127" s="2">
        <v>0.95199999999999996</v>
      </c>
      <c r="Y127">
        <f t="shared" si="11"/>
        <v>3983</v>
      </c>
      <c r="Z127">
        <f t="shared" si="12"/>
        <v>3186</v>
      </c>
      <c r="AA127">
        <f t="shared" si="13"/>
        <v>2844</v>
      </c>
      <c r="AB127">
        <f t="shared" si="14"/>
        <v>1898</v>
      </c>
      <c r="AC127">
        <f t="shared" si="15"/>
        <v>2465</v>
      </c>
      <c r="AD127">
        <f t="shared" si="16"/>
        <v>1518</v>
      </c>
      <c r="AE127">
        <f t="shared" si="17"/>
        <v>1706</v>
      </c>
      <c r="AF127">
        <v>0.85</v>
      </c>
      <c r="AG127">
        <v>0.75</v>
      </c>
      <c r="AH127">
        <v>0.5</v>
      </c>
      <c r="AI127">
        <v>0.65</v>
      </c>
      <c r="AJ127">
        <v>0.4</v>
      </c>
      <c r="AK127">
        <v>0.45</v>
      </c>
      <c r="AL127" t="s">
        <v>46</v>
      </c>
    </row>
    <row r="128" spans="1:38" x14ac:dyDescent="0.45">
      <c r="A128" t="s">
        <v>372</v>
      </c>
      <c r="B128" t="s">
        <v>37</v>
      </c>
      <c r="C128" t="s">
        <v>471</v>
      </c>
      <c r="D128" t="s">
        <v>472</v>
      </c>
      <c r="E128" t="s">
        <v>38</v>
      </c>
      <c r="F128" t="s">
        <v>473</v>
      </c>
      <c r="G128" t="s">
        <v>474</v>
      </c>
      <c r="H128" t="s">
        <v>41</v>
      </c>
      <c r="I128">
        <v>32.5</v>
      </c>
      <c r="J128">
        <v>27</v>
      </c>
      <c r="K128">
        <f>IFERROR(VLOOKUP(C128,[1]智慧家庭產品價格表.含稅!C:S,17,FALSE),0)</f>
        <v>6</v>
      </c>
      <c r="L128">
        <v>13</v>
      </c>
      <c r="M128">
        <f t="shared" si="9"/>
        <v>37.29</v>
      </c>
      <c r="N128">
        <v>20</v>
      </c>
      <c r="O128">
        <f t="shared" si="10"/>
        <v>1232</v>
      </c>
      <c r="P128">
        <v>210</v>
      </c>
      <c r="Q128">
        <v>315</v>
      </c>
      <c r="R128" s="4">
        <v>3.548</v>
      </c>
      <c r="S128" s="2">
        <v>0.94099999999999995</v>
      </c>
      <c r="T128" s="2">
        <v>0.95199999999999996</v>
      </c>
      <c r="U128" s="2">
        <v>0.95199999999999996</v>
      </c>
      <c r="V128" s="2">
        <v>0.95199999999999996</v>
      </c>
      <c r="W128" s="2">
        <v>0.95199999999999996</v>
      </c>
      <c r="X128" s="2">
        <v>0.95199999999999996</v>
      </c>
      <c r="Y128">
        <f t="shared" si="11"/>
        <v>4371</v>
      </c>
      <c r="Z128">
        <f t="shared" si="12"/>
        <v>3496</v>
      </c>
      <c r="AA128">
        <f t="shared" si="13"/>
        <v>3121</v>
      </c>
      <c r="AB128">
        <f t="shared" si="14"/>
        <v>2081</v>
      </c>
      <c r="AC128">
        <f t="shared" si="15"/>
        <v>2705</v>
      </c>
      <c r="AD128">
        <f t="shared" si="16"/>
        <v>1664</v>
      </c>
      <c r="AE128">
        <f t="shared" si="17"/>
        <v>1873</v>
      </c>
      <c r="AF128">
        <v>0.85</v>
      </c>
      <c r="AG128">
        <v>0.75</v>
      </c>
      <c r="AH128">
        <v>0.5</v>
      </c>
      <c r="AI128">
        <v>0.65</v>
      </c>
      <c r="AJ128">
        <v>0.4</v>
      </c>
      <c r="AK128">
        <v>0.45</v>
      </c>
      <c r="AL128" t="s">
        <v>46</v>
      </c>
    </row>
    <row r="129" spans="1:38" x14ac:dyDescent="0.45">
      <c r="A129" t="s">
        <v>372</v>
      </c>
      <c r="B129" t="s">
        <v>37</v>
      </c>
      <c r="C129" t="s">
        <v>475</v>
      </c>
      <c r="D129" t="s">
        <v>476</v>
      </c>
      <c r="E129" t="s">
        <v>38</v>
      </c>
      <c r="F129" t="s">
        <v>477</v>
      </c>
      <c r="G129" t="s">
        <v>478</v>
      </c>
      <c r="H129" t="s">
        <v>41</v>
      </c>
      <c r="I129">
        <v>32.5</v>
      </c>
      <c r="J129">
        <v>29</v>
      </c>
      <c r="K129">
        <f>IFERROR(VLOOKUP(C129,[1]智慧家庭產品價格表.含稅!C:S,17,FALSE),0)</f>
        <v>6</v>
      </c>
      <c r="L129">
        <v>13</v>
      </c>
      <c r="M129">
        <f t="shared" si="9"/>
        <v>39.549999999999997</v>
      </c>
      <c r="N129">
        <v>20</v>
      </c>
      <c r="O129">
        <f t="shared" si="10"/>
        <v>1305</v>
      </c>
      <c r="P129">
        <v>210</v>
      </c>
      <c r="Q129">
        <v>315</v>
      </c>
      <c r="R129" s="4">
        <v>3.55</v>
      </c>
      <c r="S129" s="2">
        <v>0.94099999999999995</v>
      </c>
      <c r="T129" s="2">
        <v>0.95199999999999996</v>
      </c>
      <c r="U129" s="2">
        <v>0.95199999999999996</v>
      </c>
      <c r="V129" s="2">
        <v>0.95199999999999996</v>
      </c>
      <c r="W129" s="2">
        <v>0.95199999999999996</v>
      </c>
      <c r="X129" s="2">
        <v>0.95199999999999996</v>
      </c>
      <c r="Y129">
        <f t="shared" si="11"/>
        <v>4633</v>
      </c>
      <c r="Z129">
        <f t="shared" si="12"/>
        <v>3706</v>
      </c>
      <c r="AA129">
        <f t="shared" si="13"/>
        <v>3308</v>
      </c>
      <c r="AB129">
        <f t="shared" si="14"/>
        <v>2205</v>
      </c>
      <c r="AC129">
        <f t="shared" si="15"/>
        <v>2867</v>
      </c>
      <c r="AD129">
        <f t="shared" si="16"/>
        <v>1764</v>
      </c>
      <c r="AE129">
        <f t="shared" si="17"/>
        <v>1985</v>
      </c>
      <c r="AF129">
        <v>0.85</v>
      </c>
      <c r="AG129">
        <v>0.75</v>
      </c>
      <c r="AH129">
        <v>0.5</v>
      </c>
      <c r="AI129">
        <v>0.65</v>
      </c>
      <c r="AJ129">
        <v>0.4</v>
      </c>
      <c r="AK129">
        <v>0.45</v>
      </c>
      <c r="AL129" t="s">
        <v>46</v>
      </c>
    </row>
    <row r="130" spans="1:38" x14ac:dyDescent="0.45">
      <c r="A130" t="s">
        <v>372</v>
      </c>
      <c r="B130" t="s">
        <v>37</v>
      </c>
      <c r="C130" t="s">
        <v>479</v>
      </c>
      <c r="D130" t="s">
        <v>480</v>
      </c>
      <c r="E130" t="s">
        <v>38</v>
      </c>
      <c r="F130" t="s">
        <v>481</v>
      </c>
      <c r="G130" t="s">
        <v>482</v>
      </c>
      <c r="H130" t="s">
        <v>41</v>
      </c>
      <c r="I130">
        <v>32.5</v>
      </c>
      <c r="J130">
        <v>19</v>
      </c>
      <c r="K130">
        <f>IFERROR(VLOOKUP(C130,[1]智慧家庭產品價格表.含稅!C:S,17,FALSE),0)</f>
        <v>3</v>
      </c>
      <c r="L130">
        <v>13</v>
      </c>
      <c r="M130">
        <f t="shared" si="9"/>
        <v>24.86</v>
      </c>
      <c r="N130">
        <v>28</v>
      </c>
      <c r="O130">
        <f t="shared" si="10"/>
        <v>836</v>
      </c>
      <c r="P130">
        <v>52</v>
      </c>
      <c r="Q130">
        <v>315</v>
      </c>
      <c r="R130" s="4">
        <v>3.7090000000000001</v>
      </c>
      <c r="S130" s="2">
        <v>0.94099999999999995</v>
      </c>
      <c r="T130" s="2">
        <v>0.95199999999999996</v>
      </c>
      <c r="U130" s="2">
        <v>0.95199999999999996</v>
      </c>
      <c r="V130" s="2">
        <v>0.95199999999999996</v>
      </c>
      <c r="W130" s="2">
        <v>0.95199999999999996</v>
      </c>
      <c r="X130" s="2">
        <v>0.95299999999999996</v>
      </c>
      <c r="Y130">
        <f t="shared" si="11"/>
        <v>3101</v>
      </c>
      <c r="Z130">
        <f t="shared" si="12"/>
        <v>2480</v>
      </c>
      <c r="AA130">
        <f t="shared" si="13"/>
        <v>2214</v>
      </c>
      <c r="AB130">
        <f t="shared" si="14"/>
        <v>1476</v>
      </c>
      <c r="AC130">
        <f t="shared" si="15"/>
        <v>1919</v>
      </c>
      <c r="AD130">
        <f t="shared" si="16"/>
        <v>1181</v>
      </c>
      <c r="AE130">
        <f t="shared" si="17"/>
        <v>1330</v>
      </c>
      <c r="AF130">
        <v>0.85</v>
      </c>
      <c r="AG130">
        <v>0.75</v>
      </c>
      <c r="AH130">
        <v>0.5</v>
      </c>
      <c r="AI130">
        <v>0.65</v>
      </c>
      <c r="AJ130">
        <v>0.4</v>
      </c>
      <c r="AK130">
        <v>0.45</v>
      </c>
      <c r="AL130" t="s">
        <v>414</v>
      </c>
    </row>
    <row r="131" spans="1:38" x14ac:dyDescent="0.45">
      <c r="A131" t="s">
        <v>372</v>
      </c>
      <c r="B131" t="s">
        <v>37</v>
      </c>
      <c r="C131" t="s">
        <v>483</v>
      </c>
      <c r="D131" t="s">
        <v>484</v>
      </c>
      <c r="E131" t="s">
        <v>38</v>
      </c>
      <c r="F131" t="s">
        <v>481</v>
      </c>
      <c r="G131" t="s">
        <v>485</v>
      </c>
      <c r="H131" t="s">
        <v>41</v>
      </c>
      <c r="I131">
        <v>32.5</v>
      </c>
      <c r="J131">
        <v>18</v>
      </c>
      <c r="K131">
        <f>IFERROR(VLOOKUP(C131,[1]智慧家庭產品價格表.含稅!C:S,17,FALSE),0)</f>
        <v>3</v>
      </c>
      <c r="L131">
        <v>13</v>
      </c>
      <c r="M131">
        <f t="shared" si="9"/>
        <v>23.73</v>
      </c>
      <c r="N131">
        <v>27</v>
      </c>
      <c r="O131">
        <f t="shared" si="10"/>
        <v>798</v>
      </c>
      <c r="P131">
        <v>52</v>
      </c>
      <c r="Q131">
        <v>315</v>
      </c>
      <c r="R131" s="4">
        <v>3.8849999999999998</v>
      </c>
      <c r="S131" s="2">
        <v>0.94099999999999995</v>
      </c>
      <c r="T131" s="2">
        <v>0.95199999999999996</v>
      </c>
      <c r="U131" s="2">
        <v>0.95199999999999996</v>
      </c>
      <c r="V131" s="2">
        <v>0.95199999999999996</v>
      </c>
      <c r="W131" s="2">
        <v>0.95199999999999996</v>
      </c>
      <c r="X131" s="2">
        <v>0.95299999999999996</v>
      </c>
      <c r="Y131">
        <f t="shared" si="11"/>
        <v>3100</v>
      </c>
      <c r="Z131">
        <f t="shared" si="12"/>
        <v>2480</v>
      </c>
      <c r="AA131">
        <f t="shared" si="13"/>
        <v>2213</v>
      </c>
      <c r="AB131">
        <f t="shared" si="14"/>
        <v>1476</v>
      </c>
      <c r="AC131">
        <f t="shared" si="15"/>
        <v>1918</v>
      </c>
      <c r="AD131">
        <f t="shared" si="16"/>
        <v>1180</v>
      </c>
      <c r="AE131">
        <f t="shared" si="17"/>
        <v>1329</v>
      </c>
      <c r="AF131">
        <v>0.85</v>
      </c>
      <c r="AG131">
        <v>0.75</v>
      </c>
      <c r="AH131">
        <v>0.5</v>
      </c>
      <c r="AI131">
        <v>0.65</v>
      </c>
      <c r="AJ131">
        <v>0.4</v>
      </c>
      <c r="AK131">
        <v>0.45</v>
      </c>
      <c r="AL131" t="s">
        <v>414</v>
      </c>
    </row>
    <row r="132" spans="1:38" x14ac:dyDescent="0.45">
      <c r="A132" t="s">
        <v>372</v>
      </c>
      <c r="B132" t="s">
        <v>37</v>
      </c>
      <c r="C132" t="s">
        <v>486</v>
      </c>
      <c r="D132" t="s">
        <v>487</v>
      </c>
      <c r="E132" t="s">
        <v>38</v>
      </c>
      <c r="F132" t="s">
        <v>488</v>
      </c>
      <c r="G132" t="s">
        <v>489</v>
      </c>
      <c r="H132" t="s">
        <v>41</v>
      </c>
      <c r="I132">
        <v>32.5</v>
      </c>
      <c r="J132">
        <v>18</v>
      </c>
      <c r="K132">
        <f>IFERROR(VLOOKUP(C132,[1]智慧家庭產品價格表.含稅!C:S,17,FALSE),0)</f>
        <v>3</v>
      </c>
      <c r="L132">
        <v>13</v>
      </c>
      <c r="M132">
        <f t="shared" ref="M132:M195" si="18">ROUND(IF(L132&lt;1,(J132+K132)*L132+(J132+K132),(J132+K132)*(L132/100)+(J132+K132)),2)</f>
        <v>23.73</v>
      </c>
      <c r="N132">
        <v>22</v>
      </c>
      <c r="O132">
        <f t="shared" ref="O132:O195" si="19">ROUND(M132*I132+N132,0)</f>
        <v>793</v>
      </c>
      <c r="P132">
        <v>52</v>
      </c>
      <c r="Q132">
        <v>315</v>
      </c>
      <c r="R132" s="4">
        <v>3.91</v>
      </c>
      <c r="S132" s="2">
        <v>0.94099999999999995</v>
      </c>
      <c r="T132" s="2">
        <v>0.95199999999999996</v>
      </c>
      <c r="U132" s="2">
        <v>0.95199999999999996</v>
      </c>
      <c r="V132" s="2">
        <v>0.95199999999999996</v>
      </c>
      <c r="W132" s="2">
        <v>0.95199999999999996</v>
      </c>
      <c r="X132" s="2">
        <v>0.95299999999999996</v>
      </c>
      <c r="Y132">
        <f t="shared" ref="Y132:Y195" si="20">ROUND(O132*R132,0)</f>
        <v>3101</v>
      </c>
      <c r="Z132">
        <f t="shared" ref="Z132:Z195" si="21">ROUND(Y132*S132*AF132,0)</f>
        <v>2480</v>
      </c>
      <c r="AA132">
        <f t="shared" ref="AA132:AA195" si="22">ROUND(Y132*T132*AG132,0)</f>
        <v>2214</v>
      </c>
      <c r="AB132">
        <f t="shared" ref="AB132:AB195" si="23">ROUND(Y132*U132*AH132,0)</f>
        <v>1476</v>
      </c>
      <c r="AC132">
        <f t="shared" ref="AC132:AC195" si="24">ROUND(Y132*V132*AI132,0)</f>
        <v>1919</v>
      </c>
      <c r="AD132">
        <f t="shared" ref="AD132:AD195" si="25">ROUND(Y132*W132*AJ132,0)</f>
        <v>1181</v>
      </c>
      <c r="AE132">
        <f t="shared" ref="AE132:AE195" si="26">ROUND(Y132*X132*AK132,0)</f>
        <v>1330</v>
      </c>
      <c r="AF132">
        <v>0.85</v>
      </c>
      <c r="AG132">
        <v>0.75</v>
      </c>
      <c r="AH132">
        <v>0.5</v>
      </c>
      <c r="AI132">
        <v>0.65</v>
      </c>
      <c r="AJ132">
        <v>0.4</v>
      </c>
      <c r="AK132">
        <v>0.45</v>
      </c>
      <c r="AL132" t="s">
        <v>414</v>
      </c>
    </row>
    <row r="133" spans="1:38" x14ac:dyDescent="0.45">
      <c r="A133" t="s">
        <v>372</v>
      </c>
      <c r="B133" t="s">
        <v>37</v>
      </c>
      <c r="C133" t="s">
        <v>490</v>
      </c>
      <c r="D133" t="s">
        <v>491</v>
      </c>
      <c r="E133" t="s">
        <v>38</v>
      </c>
      <c r="F133" t="s">
        <v>492</v>
      </c>
      <c r="G133" t="s">
        <v>493</v>
      </c>
      <c r="H133" t="s">
        <v>41</v>
      </c>
      <c r="I133">
        <v>32.5</v>
      </c>
      <c r="J133">
        <v>17</v>
      </c>
      <c r="K133">
        <f>IFERROR(VLOOKUP(C133,[1]智慧家庭產品價格表.含稅!C:S,17,FALSE),0)</f>
        <v>3</v>
      </c>
      <c r="L133">
        <v>13</v>
      </c>
      <c r="M133">
        <f t="shared" si="18"/>
        <v>22.6</v>
      </c>
      <c r="N133">
        <v>21</v>
      </c>
      <c r="O133">
        <f t="shared" si="19"/>
        <v>756</v>
      </c>
      <c r="P133">
        <v>52</v>
      </c>
      <c r="Q133">
        <v>315</v>
      </c>
      <c r="R133" s="4">
        <v>4.101</v>
      </c>
      <c r="S133" s="2">
        <v>0.94099999999999995</v>
      </c>
      <c r="T133" s="2">
        <v>0.95199999999999996</v>
      </c>
      <c r="U133" s="2">
        <v>0.95199999999999996</v>
      </c>
      <c r="V133" s="2">
        <v>0.95199999999999996</v>
      </c>
      <c r="W133" s="2">
        <v>0.95199999999999996</v>
      </c>
      <c r="X133" s="2">
        <v>0.95299999999999996</v>
      </c>
      <c r="Y133">
        <f t="shared" si="20"/>
        <v>3100</v>
      </c>
      <c r="Z133">
        <f t="shared" si="21"/>
        <v>2480</v>
      </c>
      <c r="AA133">
        <f t="shared" si="22"/>
        <v>2213</v>
      </c>
      <c r="AB133">
        <f t="shared" si="23"/>
        <v>1476</v>
      </c>
      <c r="AC133">
        <f t="shared" si="24"/>
        <v>1918</v>
      </c>
      <c r="AD133">
        <f t="shared" si="25"/>
        <v>1180</v>
      </c>
      <c r="AE133">
        <f t="shared" si="26"/>
        <v>1329</v>
      </c>
      <c r="AF133">
        <v>0.85</v>
      </c>
      <c r="AG133">
        <v>0.75</v>
      </c>
      <c r="AH133">
        <v>0.5</v>
      </c>
      <c r="AI133">
        <v>0.65</v>
      </c>
      <c r="AJ133">
        <v>0.4</v>
      </c>
      <c r="AK133">
        <v>0.45</v>
      </c>
      <c r="AL133" t="s">
        <v>414</v>
      </c>
    </row>
    <row r="134" spans="1:38" x14ac:dyDescent="0.45">
      <c r="A134" t="s">
        <v>372</v>
      </c>
      <c r="B134" t="s">
        <v>37</v>
      </c>
      <c r="C134" t="s">
        <v>494</v>
      </c>
      <c r="D134" t="s">
        <v>495</v>
      </c>
      <c r="E134" t="s">
        <v>38</v>
      </c>
      <c r="F134" t="s">
        <v>496</v>
      </c>
      <c r="G134" t="s">
        <v>497</v>
      </c>
      <c r="H134" t="s">
        <v>41</v>
      </c>
      <c r="I134">
        <v>32.5</v>
      </c>
      <c r="J134">
        <v>19</v>
      </c>
      <c r="K134">
        <f>IFERROR(VLOOKUP(C134,[1]智慧家庭產品價格表.含稅!C:S,17,FALSE),0)</f>
        <v>3</v>
      </c>
      <c r="L134">
        <v>13</v>
      </c>
      <c r="M134">
        <f t="shared" si="18"/>
        <v>24.86</v>
      </c>
      <c r="N134">
        <v>24</v>
      </c>
      <c r="O134">
        <f t="shared" si="19"/>
        <v>832</v>
      </c>
      <c r="P134">
        <v>52</v>
      </c>
      <c r="Q134">
        <v>315</v>
      </c>
      <c r="R134" s="4">
        <v>3.726</v>
      </c>
      <c r="S134" s="2">
        <v>0.94099999999999995</v>
      </c>
      <c r="T134" s="2">
        <v>0.95199999999999996</v>
      </c>
      <c r="U134" s="2">
        <v>0.95199999999999996</v>
      </c>
      <c r="V134" s="2">
        <v>0.95199999999999996</v>
      </c>
      <c r="W134" s="2">
        <v>0.95199999999999996</v>
      </c>
      <c r="X134" s="2">
        <v>0.95299999999999996</v>
      </c>
      <c r="Y134">
        <f t="shared" si="20"/>
        <v>3100</v>
      </c>
      <c r="Z134">
        <f t="shared" si="21"/>
        <v>2480</v>
      </c>
      <c r="AA134">
        <f t="shared" si="22"/>
        <v>2213</v>
      </c>
      <c r="AB134">
        <f t="shared" si="23"/>
        <v>1476</v>
      </c>
      <c r="AC134">
        <f t="shared" si="24"/>
        <v>1918</v>
      </c>
      <c r="AD134">
        <f t="shared" si="25"/>
        <v>1180</v>
      </c>
      <c r="AE134">
        <f t="shared" si="26"/>
        <v>1329</v>
      </c>
      <c r="AF134">
        <v>0.85</v>
      </c>
      <c r="AG134">
        <v>0.75</v>
      </c>
      <c r="AH134">
        <v>0.5</v>
      </c>
      <c r="AI134">
        <v>0.65</v>
      </c>
      <c r="AJ134">
        <v>0.4</v>
      </c>
      <c r="AK134">
        <v>0.45</v>
      </c>
      <c r="AL134" t="s">
        <v>414</v>
      </c>
    </row>
    <row r="135" spans="1:38" x14ac:dyDescent="0.45">
      <c r="A135" t="s">
        <v>372</v>
      </c>
      <c r="B135" t="s">
        <v>37</v>
      </c>
      <c r="C135" t="s">
        <v>498</v>
      </c>
      <c r="D135" t="s">
        <v>499</v>
      </c>
      <c r="E135" t="s">
        <v>38</v>
      </c>
      <c r="F135" t="s">
        <v>500</v>
      </c>
      <c r="G135" t="s">
        <v>501</v>
      </c>
      <c r="H135" t="s">
        <v>41</v>
      </c>
      <c r="I135">
        <v>32.5</v>
      </c>
      <c r="J135">
        <v>18</v>
      </c>
      <c r="K135">
        <f>IFERROR(VLOOKUP(C135,[1]智慧家庭產品價格表.含稅!C:S,17,FALSE),0)</f>
        <v>3</v>
      </c>
      <c r="L135">
        <v>13</v>
      </c>
      <c r="M135">
        <f t="shared" si="18"/>
        <v>23.73</v>
      </c>
      <c r="N135">
        <v>23</v>
      </c>
      <c r="O135">
        <f t="shared" si="19"/>
        <v>794</v>
      </c>
      <c r="P135">
        <v>52</v>
      </c>
      <c r="Q135">
        <v>315</v>
      </c>
      <c r="R135" s="4">
        <v>3.9049999999999998</v>
      </c>
      <c r="S135" s="2">
        <v>0.94099999999999995</v>
      </c>
      <c r="T135" s="2">
        <v>0.95199999999999996</v>
      </c>
      <c r="U135" s="2">
        <v>0.95199999999999996</v>
      </c>
      <c r="V135" s="2">
        <v>0.95199999999999996</v>
      </c>
      <c r="W135" s="2">
        <v>0.95199999999999996</v>
      </c>
      <c r="X135" s="2">
        <v>0.95299999999999996</v>
      </c>
      <c r="Y135">
        <f t="shared" si="20"/>
        <v>3101</v>
      </c>
      <c r="Z135">
        <f t="shared" si="21"/>
        <v>2480</v>
      </c>
      <c r="AA135">
        <f t="shared" si="22"/>
        <v>2214</v>
      </c>
      <c r="AB135">
        <f t="shared" si="23"/>
        <v>1476</v>
      </c>
      <c r="AC135">
        <f t="shared" si="24"/>
        <v>1919</v>
      </c>
      <c r="AD135">
        <f t="shared" si="25"/>
        <v>1181</v>
      </c>
      <c r="AE135">
        <f t="shared" si="26"/>
        <v>1330</v>
      </c>
      <c r="AF135">
        <v>0.85</v>
      </c>
      <c r="AG135">
        <v>0.75</v>
      </c>
      <c r="AH135">
        <v>0.5</v>
      </c>
      <c r="AI135">
        <v>0.65</v>
      </c>
      <c r="AJ135">
        <v>0.4</v>
      </c>
      <c r="AK135">
        <v>0.45</v>
      </c>
      <c r="AL135" t="s">
        <v>414</v>
      </c>
    </row>
    <row r="136" spans="1:38" x14ac:dyDescent="0.45">
      <c r="A136" t="s">
        <v>372</v>
      </c>
      <c r="B136" t="s">
        <v>37</v>
      </c>
      <c r="C136" t="s">
        <v>502</v>
      </c>
      <c r="D136" t="s">
        <v>503</v>
      </c>
      <c r="E136" t="s">
        <v>38</v>
      </c>
      <c r="F136" t="s">
        <v>496</v>
      </c>
      <c r="G136" t="s">
        <v>504</v>
      </c>
      <c r="H136" t="s">
        <v>41</v>
      </c>
      <c r="I136">
        <v>32.5</v>
      </c>
      <c r="J136">
        <v>20</v>
      </c>
      <c r="K136">
        <f>IFERROR(VLOOKUP(C136,[1]智慧家庭產品價格表.含稅!C:S,17,FALSE),0)</f>
        <v>3</v>
      </c>
      <c r="L136">
        <v>13</v>
      </c>
      <c r="M136">
        <f t="shared" si="18"/>
        <v>25.99</v>
      </c>
      <c r="N136">
        <v>26</v>
      </c>
      <c r="O136">
        <f t="shared" si="19"/>
        <v>871</v>
      </c>
      <c r="P136">
        <v>52</v>
      </c>
      <c r="Q136">
        <v>315</v>
      </c>
      <c r="R136" s="4">
        <v>3.56</v>
      </c>
      <c r="S136" s="2">
        <v>0.94099999999999995</v>
      </c>
      <c r="T136" s="2">
        <v>0.95199999999999996</v>
      </c>
      <c r="U136" s="2">
        <v>0.95199999999999996</v>
      </c>
      <c r="V136" s="2">
        <v>0.95199999999999996</v>
      </c>
      <c r="W136" s="2">
        <v>0.95199999999999996</v>
      </c>
      <c r="X136" s="2">
        <v>0.95299999999999996</v>
      </c>
      <c r="Y136">
        <f t="shared" si="20"/>
        <v>3101</v>
      </c>
      <c r="Z136">
        <f t="shared" si="21"/>
        <v>2480</v>
      </c>
      <c r="AA136">
        <f t="shared" si="22"/>
        <v>2214</v>
      </c>
      <c r="AB136">
        <f t="shared" si="23"/>
        <v>1476</v>
      </c>
      <c r="AC136">
        <f t="shared" si="24"/>
        <v>1919</v>
      </c>
      <c r="AD136">
        <f t="shared" si="25"/>
        <v>1181</v>
      </c>
      <c r="AE136">
        <f t="shared" si="26"/>
        <v>1330</v>
      </c>
      <c r="AF136">
        <v>0.85</v>
      </c>
      <c r="AG136">
        <v>0.75</v>
      </c>
      <c r="AH136">
        <v>0.5</v>
      </c>
      <c r="AI136">
        <v>0.65</v>
      </c>
      <c r="AJ136">
        <v>0.4</v>
      </c>
      <c r="AK136">
        <v>0.45</v>
      </c>
      <c r="AL136" t="s">
        <v>414</v>
      </c>
    </row>
    <row r="137" spans="1:38" x14ac:dyDescent="0.45">
      <c r="A137" t="s">
        <v>372</v>
      </c>
      <c r="B137" t="s">
        <v>37</v>
      </c>
      <c r="C137" t="s">
        <v>505</v>
      </c>
      <c r="D137" t="s">
        <v>506</v>
      </c>
      <c r="E137" t="s">
        <v>38</v>
      </c>
      <c r="F137" t="s">
        <v>500</v>
      </c>
      <c r="G137" t="s">
        <v>507</v>
      </c>
      <c r="H137" t="s">
        <v>41</v>
      </c>
      <c r="I137">
        <v>32.5</v>
      </c>
      <c r="J137">
        <v>19</v>
      </c>
      <c r="K137">
        <f>IFERROR(VLOOKUP(C137,[1]智慧家庭產品價格表.含稅!C:S,17,FALSE),0)</f>
        <v>3</v>
      </c>
      <c r="L137">
        <v>13</v>
      </c>
      <c r="M137">
        <f t="shared" si="18"/>
        <v>24.86</v>
      </c>
      <c r="N137">
        <v>25</v>
      </c>
      <c r="O137">
        <f t="shared" si="19"/>
        <v>833</v>
      </c>
      <c r="P137">
        <v>52</v>
      </c>
      <c r="Q137">
        <v>315</v>
      </c>
      <c r="R137" s="4">
        <v>3.722</v>
      </c>
      <c r="S137" s="2">
        <v>0.94099999999999995</v>
      </c>
      <c r="T137" s="2">
        <v>0.95199999999999996</v>
      </c>
      <c r="U137" s="2">
        <v>0.95199999999999996</v>
      </c>
      <c r="V137" s="2">
        <v>0.95199999999999996</v>
      </c>
      <c r="W137" s="2">
        <v>0.95199999999999996</v>
      </c>
      <c r="X137" s="2">
        <v>0.95299999999999996</v>
      </c>
      <c r="Y137">
        <f t="shared" si="20"/>
        <v>3100</v>
      </c>
      <c r="Z137">
        <f t="shared" si="21"/>
        <v>2480</v>
      </c>
      <c r="AA137">
        <f t="shared" si="22"/>
        <v>2213</v>
      </c>
      <c r="AB137">
        <f t="shared" si="23"/>
        <v>1476</v>
      </c>
      <c r="AC137">
        <f t="shared" si="24"/>
        <v>1918</v>
      </c>
      <c r="AD137">
        <f t="shared" si="25"/>
        <v>1180</v>
      </c>
      <c r="AE137">
        <f t="shared" si="26"/>
        <v>1329</v>
      </c>
      <c r="AF137">
        <v>0.85</v>
      </c>
      <c r="AG137">
        <v>0.75</v>
      </c>
      <c r="AH137">
        <v>0.5</v>
      </c>
      <c r="AI137">
        <v>0.65</v>
      </c>
      <c r="AJ137">
        <v>0.4</v>
      </c>
      <c r="AK137">
        <v>0.45</v>
      </c>
      <c r="AL137" t="s">
        <v>414</v>
      </c>
    </row>
    <row r="138" spans="1:38" x14ac:dyDescent="0.45">
      <c r="A138" t="s">
        <v>508</v>
      </c>
      <c r="B138" t="s">
        <v>37</v>
      </c>
      <c r="C138" t="s">
        <v>509</v>
      </c>
      <c r="D138" t="s">
        <v>510</v>
      </c>
      <c r="E138" t="s">
        <v>38</v>
      </c>
      <c r="F138" t="s">
        <v>511</v>
      </c>
      <c r="G138" t="s">
        <v>512</v>
      </c>
      <c r="H138" t="s">
        <v>70</v>
      </c>
      <c r="I138">
        <v>32.5</v>
      </c>
      <c r="J138">
        <v>0</v>
      </c>
      <c r="K138">
        <f>IFERROR(VLOOKUP(C138,[1]智慧家庭產品價格表.含稅!C:S,17,FALSE),0)</f>
        <v>0</v>
      </c>
      <c r="L138">
        <v>13</v>
      </c>
      <c r="M138">
        <f t="shared" si="18"/>
        <v>0</v>
      </c>
      <c r="N138">
        <v>0</v>
      </c>
      <c r="O138">
        <f t="shared" si="19"/>
        <v>0</v>
      </c>
      <c r="P138">
        <v>158</v>
      </c>
      <c r="Q138">
        <v>315</v>
      </c>
      <c r="R138" s="4">
        <v>1</v>
      </c>
      <c r="S138" s="2">
        <v>1.2350000000000001</v>
      </c>
      <c r="T138" s="2" t="e">
        <v>#DIV/0!</v>
      </c>
      <c r="U138" s="2" t="e">
        <v>#DIV/0!</v>
      </c>
      <c r="V138" s="2" t="e">
        <v>#DIV/0!</v>
      </c>
      <c r="W138" s="2" t="e">
        <v>#DIV/0!</v>
      </c>
      <c r="X138" s="2">
        <v>1.4830000000000001</v>
      </c>
      <c r="Y138">
        <f t="shared" si="20"/>
        <v>0</v>
      </c>
      <c r="Z138">
        <f t="shared" si="21"/>
        <v>0</v>
      </c>
      <c r="AA138" t="e">
        <f t="shared" si="22"/>
        <v>#DIV/0!</v>
      </c>
      <c r="AB138" t="e">
        <f t="shared" si="23"/>
        <v>#DIV/0!</v>
      </c>
      <c r="AC138" t="e">
        <f t="shared" si="24"/>
        <v>#DIV/0!</v>
      </c>
      <c r="AD138" t="e">
        <f t="shared" si="25"/>
        <v>#DIV/0!</v>
      </c>
      <c r="AE138">
        <f t="shared" si="26"/>
        <v>0</v>
      </c>
      <c r="AF138">
        <v>0.85</v>
      </c>
      <c r="AG138">
        <v>0.75</v>
      </c>
      <c r="AH138">
        <v>0.5</v>
      </c>
      <c r="AI138">
        <v>0.65</v>
      </c>
      <c r="AJ138">
        <v>0.4</v>
      </c>
      <c r="AK138">
        <v>0.45</v>
      </c>
      <c r="AL138" t="s">
        <v>513</v>
      </c>
    </row>
    <row r="139" spans="1:38" x14ac:dyDescent="0.45">
      <c r="A139" t="s">
        <v>508</v>
      </c>
      <c r="B139" t="s">
        <v>37</v>
      </c>
      <c r="C139" t="s">
        <v>514</v>
      </c>
      <c r="D139" t="s">
        <v>515</v>
      </c>
      <c r="E139" t="s">
        <v>38</v>
      </c>
      <c r="F139" t="s">
        <v>516</v>
      </c>
      <c r="G139" t="s">
        <v>517</v>
      </c>
      <c r="H139" t="s">
        <v>70</v>
      </c>
      <c r="I139">
        <v>32.5</v>
      </c>
      <c r="J139">
        <v>0</v>
      </c>
      <c r="K139">
        <f>IFERROR(VLOOKUP(C139,[1]智慧家庭產品價格表.含稅!C:S,17,FALSE),0)</f>
        <v>0</v>
      </c>
      <c r="L139">
        <v>13</v>
      </c>
      <c r="M139">
        <f t="shared" si="18"/>
        <v>0</v>
      </c>
      <c r="N139">
        <v>0</v>
      </c>
      <c r="O139">
        <f t="shared" si="19"/>
        <v>0</v>
      </c>
      <c r="P139">
        <v>158</v>
      </c>
      <c r="Q139">
        <v>315</v>
      </c>
      <c r="R139" s="4">
        <v>1</v>
      </c>
      <c r="S139" s="2">
        <v>1.2350000000000001</v>
      </c>
      <c r="T139" s="2" t="e">
        <v>#DIV/0!</v>
      </c>
      <c r="U139" s="2" t="e">
        <v>#DIV/0!</v>
      </c>
      <c r="V139" s="2" t="e">
        <v>#DIV/0!</v>
      </c>
      <c r="W139" s="2" t="e">
        <v>#DIV/0!</v>
      </c>
      <c r="X139" s="2">
        <v>1.482</v>
      </c>
      <c r="Y139">
        <f t="shared" si="20"/>
        <v>0</v>
      </c>
      <c r="Z139">
        <f t="shared" si="21"/>
        <v>0</v>
      </c>
      <c r="AA139" t="e">
        <f t="shared" si="22"/>
        <v>#DIV/0!</v>
      </c>
      <c r="AB139" t="e">
        <f t="shared" si="23"/>
        <v>#DIV/0!</v>
      </c>
      <c r="AC139" t="e">
        <f t="shared" si="24"/>
        <v>#DIV/0!</v>
      </c>
      <c r="AD139" t="e">
        <f t="shared" si="25"/>
        <v>#DIV/0!</v>
      </c>
      <c r="AE139">
        <f t="shared" si="26"/>
        <v>0</v>
      </c>
      <c r="AF139">
        <v>0.85</v>
      </c>
      <c r="AG139">
        <v>0.75</v>
      </c>
      <c r="AH139">
        <v>0.5</v>
      </c>
      <c r="AI139">
        <v>0.65</v>
      </c>
      <c r="AJ139">
        <v>0.4</v>
      </c>
      <c r="AK139">
        <v>0.45</v>
      </c>
      <c r="AL139" t="s">
        <v>518</v>
      </c>
    </row>
    <row r="140" spans="1:38" x14ac:dyDescent="0.45">
      <c r="A140" t="s">
        <v>508</v>
      </c>
      <c r="B140" t="s">
        <v>37</v>
      </c>
      <c r="C140" t="s">
        <v>519</v>
      </c>
      <c r="D140" t="s">
        <v>520</v>
      </c>
      <c r="E140" t="s">
        <v>38</v>
      </c>
      <c r="F140" t="s">
        <v>521</v>
      </c>
      <c r="G140" t="s">
        <v>522</v>
      </c>
      <c r="H140" t="s">
        <v>70</v>
      </c>
      <c r="I140">
        <v>32.5</v>
      </c>
      <c r="J140">
        <v>0</v>
      </c>
      <c r="K140">
        <f>IFERROR(VLOOKUP(C140,[1]智慧家庭產品價格表.含稅!C:S,17,FALSE),0)</f>
        <v>0</v>
      </c>
      <c r="L140">
        <v>13</v>
      </c>
      <c r="M140">
        <f t="shared" si="18"/>
        <v>0</v>
      </c>
      <c r="N140">
        <v>0</v>
      </c>
      <c r="O140">
        <f t="shared" si="19"/>
        <v>0</v>
      </c>
      <c r="P140">
        <v>158</v>
      </c>
      <c r="Q140">
        <v>315</v>
      </c>
      <c r="R140" s="4">
        <v>1</v>
      </c>
      <c r="S140" s="2">
        <v>1.2350000000000001</v>
      </c>
      <c r="T140" s="2" t="e">
        <v>#DIV/0!</v>
      </c>
      <c r="U140" s="2" t="e">
        <v>#DIV/0!</v>
      </c>
      <c r="V140" s="2" t="e">
        <v>#DIV/0!</v>
      </c>
      <c r="W140" s="2" t="e">
        <v>#DIV/0!</v>
      </c>
      <c r="X140" s="2">
        <v>1.482</v>
      </c>
      <c r="Y140">
        <f t="shared" si="20"/>
        <v>0</v>
      </c>
      <c r="Z140">
        <f t="shared" si="21"/>
        <v>0</v>
      </c>
      <c r="AA140" t="e">
        <f t="shared" si="22"/>
        <v>#DIV/0!</v>
      </c>
      <c r="AB140" t="e">
        <f t="shared" si="23"/>
        <v>#DIV/0!</v>
      </c>
      <c r="AC140" t="e">
        <f t="shared" si="24"/>
        <v>#DIV/0!</v>
      </c>
      <c r="AD140" t="e">
        <f t="shared" si="25"/>
        <v>#DIV/0!</v>
      </c>
      <c r="AE140">
        <f t="shared" si="26"/>
        <v>0</v>
      </c>
      <c r="AF140">
        <v>0.85</v>
      </c>
      <c r="AG140">
        <v>0.75</v>
      </c>
      <c r="AH140">
        <v>0.5</v>
      </c>
      <c r="AI140">
        <v>0.65</v>
      </c>
      <c r="AJ140">
        <v>0.4</v>
      </c>
      <c r="AK140">
        <v>0.45</v>
      </c>
      <c r="AL140" t="s">
        <v>126</v>
      </c>
    </row>
    <row r="141" spans="1:38" x14ac:dyDescent="0.45">
      <c r="A141" t="s">
        <v>508</v>
      </c>
      <c r="B141" t="s">
        <v>37</v>
      </c>
      <c r="C141" t="s">
        <v>523</v>
      </c>
      <c r="D141" t="s">
        <v>524</v>
      </c>
      <c r="E141" t="s">
        <v>38</v>
      </c>
      <c r="F141" t="s">
        <v>525</v>
      </c>
      <c r="G141" t="s">
        <v>526</v>
      </c>
      <c r="H141" t="s">
        <v>41</v>
      </c>
      <c r="I141">
        <v>32.5</v>
      </c>
      <c r="J141">
        <v>35</v>
      </c>
      <c r="K141">
        <f>IFERROR(VLOOKUP(C141,[1]智慧家庭產品價格表.含稅!C:S,17,FALSE),0)</f>
        <v>1</v>
      </c>
      <c r="L141">
        <v>13</v>
      </c>
      <c r="M141">
        <f t="shared" si="18"/>
        <v>40.68</v>
      </c>
      <c r="N141">
        <v>0</v>
      </c>
      <c r="O141">
        <f t="shared" si="19"/>
        <v>1322</v>
      </c>
      <c r="P141">
        <v>158</v>
      </c>
      <c r="Q141">
        <v>189</v>
      </c>
      <c r="R141" s="4">
        <v>2.875</v>
      </c>
      <c r="S141" s="2">
        <v>1</v>
      </c>
      <c r="T141" s="2">
        <v>1.016</v>
      </c>
      <c r="U141" s="2">
        <v>1.0469999999999999</v>
      </c>
      <c r="V141" s="2">
        <v>1.0249999999999999</v>
      </c>
      <c r="W141" s="2">
        <v>1.071</v>
      </c>
      <c r="X141" s="2">
        <v>1.0580000000000001</v>
      </c>
      <c r="Y141">
        <f t="shared" si="20"/>
        <v>3801</v>
      </c>
      <c r="Z141">
        <f t="shared" si="21"/>
        <v>3231</v>
      </c>
      <c r="AA141">
        <f t="shared" si="22"/>
        <v>2896</v>
      </c>
      <c r="AB141">
        <f t="shared" si="23"/>
        <v>1990</v>
      </c>
      <c r="AC141">
        <f t="shared" si="24"/>
        <v>2532</v>
      </c>
      <c r="AD141">
        <f t="shared" si="25"/>
        <v>1628</v>
      </c>
      <c r="AE141">
        <f t="shared" si="26"/>
        <v>1810</v>
      </c>
      <c r="AF141">
        <v>0.85</v>
      </c>
      <c r="AG141">
        <v>0.75</v>
      </c>
      <c r="AH141">
        <v>0.5</v>
      </c>
      <c r="AI141">
        <v>0.65</v>
      </c>
      <c r="AJ141">
        <v>0.4</v>
      </c>
      <c r="AK141">
        <v>0.45</v>
      </c>
    </row>
    <row r="142" spans="1:38" x14ac:dyDescent="0.45">
      <c r="A142" t="s">
        <v>508</v>
      </c>
      <c r="B142" t="s">
        <v>37</v>
      </c>
      <c r="C142" t="s">
        <v>527</v>
      </c>
      <c r="D142" t="s">
        <v>528</v>
      </c>
      <c r="E142" t="s">
        <v>38</v>
      </c>
      <c r="F142" t="s">
        <v>529</v>
      </c>
      <c r="G142" t="s">
        <v>530</v>
      </c>
      <c r="H142" t="s">
        <v>41</v>
      </c>
      <c r="I142">
        <v>32.5</v>
      </c>
      <c r="J142">
        <v>35</v>
      </c>
      <c r="K142">
        <f>IFERROR(VLOOKUP(C142,[1]智慧家庭產品價格表.含稅!C:S,17,FALSE),0)</f>
        <v>1</v>
      </c>
      <c r="L142">
        <v>13</v>
      </c>
      <c r="M142">
        <f t="shared" si="18"/>
        <v>40.68</v>
      </c>
      <c r="N142">
        <v>0</v>
      </c>
      <c r="O142">
        <f t="shared" si="19"/>
        <v>1322</v>
      </c>
      <c r="P142">
        <v>158</v>
      </c>
      <c r="Q142">
        <v>189</v>
      </c>
      <c r="R142" s="4">
        <v>2.87</v>
      </c>
      <c r="S142" s="2">
        <v>1</v>
      </c>
      <c r="T142" s="2">
        <v>1.016</v>
      </c>
      <c r="U142" s="2">
        <v>1.0469999999999999</v>
      </c>
      <c r="V142" s="2">
        <v>1.0249999999999999</v>
      </c>
      <c r="W142" s="2">
        <v>1.071</v>
      </c>
      <c r="X142" s="2">
        <v>1.0580000000000001</v>
      </c>
      <c r="Y142">
        <f t="shared" si="20"/>
        <v>3794</v>
      </c>
      <c r="Z142">
        <f t="shared" si="21"/>
        <v>3225</v>
      </c>
      <c r="AA142">
        <f t="shared" si="22"/>
        <v>2891</v>
      </c>
      <c r="AB142">
        <f t="shared" si="23"/>
        <v>1986</v>
      </c>
      <c r="AC142">
        <f t="shared" si="24"/>
        <v>2528</v>
      </c>
      <c r="AD142">
        <f t="shared" si="25"/>
        <v>1625</v>
      </c>
      <c r="AE142">
        <f t="shared" si="26"/>
        <v>1806</v>
      </c>
      <c r="AF142">
        <v>0.85</v>
      </c>
      <c r="AG142">
        <v>0.75</v>
      </c>
      <c r="AH142">
        <v>0.5</v>
      </c>
      <c r="AI142">
        <v>0.65</v>
      </c>
      <c r="AJ142">
        <v>0.4</v>
      </c>
      <c r="AK142">
        <v>0.45</v>
      </c>
    </row>
    <row r="143" spans="1:38" x14ac:dyDescent="0.45">
      <c r="A143" t="s">
        <v>508</v>
      </c>
      <c r="B143" t="s">
        <v>37</v>
      </c>
      <c r="C143" t="s">
        <v>531</v>
      </c>
      <c r="D143" t="s">
        <v>532</v>
      </c>
      <c r="E143" t="s">
        <v>38</v>
      </c>
      <c r="F143" t="s">
        <v>533</v>
      </c>
      <c r="G143" t="s">
        <v>534</v>
      </c>
      <c r="H143" t="s">
        <v>41</v>
      </c>
      <c r="I143">
        <v>32.5</v>
      </c>
      <c r="J143">
        <v>37</v>
      </c>
      <c r="K143">
        <f>IFERROR(VLOOKUP(C143,[1]智慧家庭產品價格表.含稅!C:S,17,FALSE),0)</f>
        <v>1</v>
      </c>
      <c r="L143">
        <v>13</v>
      </c>
      <c r="M143">
        <f t="shared" si="18"/>
        <v>42.94</v>
      </c>
      <c r="N143">
        <v>0</v>
      </c>
      <c r="O143">
        <f t="shared" si="19"/>
        <v>1396</v>
      </c>
      <c r="P143">
        <v>158</v>
      </c>
      <c r="Q143">
        <v>189</v>
      </c>
      <c r="R143" s="4">
        <v>3</v>
      </c>
      <c r="S143" s="2">
        <v>1</v>
      </c>
      <c r="T143" s="2">
        <v>1.016</v>
      </c>
      <c r="U143" s="2">
        <v>1.048</v>
      </c>
      <c r="V143" s="2">
        <v>1.026</v>
      </c>
      <c r="W143" s="2">
        <v>1.0720000000000001</v>
      </c>
      <c r="X143" s="2">
        <v>1.0580000000000001</v>
      </c>
      <c r="Y143">
        <f t="shared" si="20"/>
        <v>4188</v>
      </c>
      <c r="Z143">
        <f t="shared" si="21"/>
        <v>3560</v>
      </c>
      <c r="AA143">
        <f t="shared" si="22"/>
        <v>3191</v>
      </c>
      <c r="AB143">
        <f t="shared" si="23"/>
        <v>2195</v>
      </c>
      <c r="AC143">
        <f t="shared" si="24"/>
        <v>2793</v>
      </c>
      <c r="AD143">
        <f t="shared" si="25"/>
        <v>1796</v>
      </c>
      <c r="AE143">
        <f t="shared" si="26"/>
        <v>1994</v>
      </c>
      <c r="AF143">
        <v>0.85</v>
      </c>
      <c r="AG143">
        <v>0.75</v>
      </c>
      <c r="AH143">
        <v>0.5</v>
      </c>
      <c r="AI143">
        <v>0.65</v>
      </c>
      <c r="AJ143">
        <v>0.4</v>
      </c>
      <c r="AK143">
        <v>0.45</v>
      </c>
    </row>
    <row r="144" spans="1:38" x14ac:dyDescent="0.45">
      <c r="A144" t="s">
        <v>508</v>
      </c>
      <c r="B144" t="s">
        <v>37</v>
      </c>
      <c r="C144" t="s">
        <v>535</v>
      </c>
      <c r="D144" t="s">
        <v>536</v>
      </c>
      <c r="E144" t="s">
        <v>38</v>
      </c>
      <c r="F144" t="s">
        <v>537</v>
      </c>
      <c r="G144" t="s">
        <v>538</v>
      </c>
      <c r="H144" t="s">
        <v>41</v>
      </c>
      <c r="I144">
        <v>32.5</v>
      </c>
      <c r="J144">
        <v>41</v>
      </c>
      <c r="K144">
        <f>IFERROR(VLOOKUP(C144,[1]智慧家庭產品價格表.含稅!C:S,17,FALSE),0)</f>
        <v>1</v>
      </c>
      <c r="L144">
        <v>13</v>
      </c>
      <c r="M144">
        <f t="shared" si="18"/>
        <v>47.46</v>
      </c>
      <c r="N144">
        <v>0</v>
      </c>
      <c r="O144">
        <f t="shared" si="19"/>
        <v>1542</v>
      </c>
      <c r="P144">
        <v>158</v>
      </c>
      <c r="Q144">
        <v>189</v>
      </c>
      <c r="R144" s="4">
        <v>2.8849999999999998</v>
      </c>
      <c r="S144" s="2">
        <v>1</v>
      </c>
      <c r="T144" s="2">
        <v>1.016</v>
      </c>
      <c r="U144" s="2">
        <v>1.048</v>
      </c>
      <c r="V144" s="2">
        <v>1.0249999999999999</v>
      </c>
      <c r="W144" s="2">
        <v>1.071</v>
      </c>
      <c r="X144" s="2">
        <v>1.0580000000000001</v>
      </c>
      <c r="Y144">
        <f t="shared" si="20"/>
        <v>4449</v>
      </c>
      <c r="Z144">
        <f t="shared" si="21"/>
        <v>3782</v>
      </c>
      <c r="AA144">
        <f t="shared" si="22"/>
        <v>3390</v>
      </c>
      <c r="AB144">
        <f t="shared" si="23"/>
        <v>2331</v>
      </c>
      <c r="AC144">
        <f t="shared" si="24"/>
        <v>2964</v>
      </c>
      <c r="AD144">
        <f t="shared" si="25"/>
        <v>1906</v>
      </c>
      <c r="AE144">
        <f t="shared" si="26"/>
        <v>2118</v>
      </c>
      <c r="AF144">
        <v>0.85</v>
      </c>
      <c r="AG144">
        <v>0.75</v>
      </c>
      <c r="AH144">
        <v>0.5</v>
      </c>
      <c r="AI144">
        <v>0.65</v>
      </c>
      <c r="AJ144">
        <v>0.4</v>
      </c>
      <c r="AK144">
        <v>0.45</v>
      </c>
    </row>
    <row r="145" spans="1:38" x14ac:dyDescent="0.45">
      <c r="A145" t="s">
        <v>508</v>
      </c>
      <c r="B145" t="s">
        <v>37</v>
      </c>
      <c r="C145" t="s">
        <v>539</v>
      </c>
      <c r="D145" t="s">
        <v>540</v>
      </c>
      <c r="E145" t="s">
        <v>38</v>
      </c>
      <c r="F145" t="s">
        <v>541</v>
      </c>
      <c r="G145" t="s">
        <v>542</v>
      </c>
      <c r="H145" t="s">
        <v>41</v>
      </c>
      <c r="I145">
        <v>32.5</v>
      </c>
      <c r="J145">
        <v>43</v>
      </c>
      <c r="K145">
        <f>IFERROR(VLOOKUP(C145,[1]智慧家庭產品價格表.含稅!C:S,17,FALSE),0)</f>
        <v>1</v>
      </c>
      <c r="L145">
        <v>13</v>
      </c>
      <c r="M145">
        <f t="shared" si="18"/>
        <v>49.72</v>
      </c>
      <c r="N145">
        <v>0</v>
      </c>
      <c r="O145">
        <f t="shared" si="19"/>
        <v>1616</v>
      </c>
      <c r="P145">
        <v>158</v>
      </c>
      <c r="Q145">
        <v>189</v>
      </c>
      <c r="R145" s="4">
        <v>2.8849999999999998</v>
      </c>
      <c r="S145" s="2">
        <v>1</v>
      </c>
      <c r="T145" s="2">
        <v>1.016</v>
      </c>
      <c r="U145" s="2">
        <v>1.0469999999999999</v>
      </c>
      <c r="V145" s="2">
        <v>1.0249999999999999</v>
      </c>
      <c r="W145" s="2">
        <v>1.071</v>
      </c>
      <c r="X145" s="2">
        <v>1.0580000000000001</v>
      </c>
      <c r="Y145">
        <f t="shared" si="20"/>
        <v>4662</v>
      </c>
      <c r="Z145">
        <f t="shared" si="21"/>
        <v>3963</v>
      </c>
      <c r="AA145">
        <f t="shared" si="22"/>
        <v>3552</v>
      </c>
      <c r="AB145">
        <f t="shared" si="23"/>
        <v>2441</v>
      </c>
      <c r="AC145">
        <f t="shared" si="24"/>
        <v>3106</v>
      </c>
      <c r="AD145">
        <f t="shared" si="25"/>
        <v>1997</v>
      </c>
      <c r="AE145">
        <f t="shared" si="26"/>
        <v>2220</v>
      </c>
      <c r="AF145">
        <v>0.85</v>
      </c>
      <c r="AG145">
        <v>0.75</v>
      </c>
      <c r="AH145">
        <v>0.5</v>
      </c>
      <c r="AI145">
        <v>0.65</v>
      </c>
      <c r="AJ145">
        <v>0.4</v>
      </c>
      <c r="AK145">
        <v>0.45</v>
      </c>
    </row>
    <row r="146" spans="1:38" x14ac:dyDescent="0.45">
      <c r="A146" t="s">
        <v>508</v>
      </c>
      <c r="B146" t="s">
        <v>37</v>
      </c>
      <c r="C146" t="s">
        <v>543</v>
      </c>
      <c r="D146" t="s">
        <v>544</v>
      </c>
      <c r="E146" t="s">
        <v>38</v>
      </c>
      <c r="F146" t="s">
        <v>545</v>
      </c>
      <c r="G146" t="s">
        <v>546</v>
      </c>
      <c r="H146" t="s">
        <v>41</v>
      </c>
      <c r="I146">
        <v>32.5</v>
      </c>
      <c r="J146">
        <v>45</v>
      </c>
      <c r="K146">
        <f>IFERROR(VLOOKUP(C146,[1]智慧家庭產品價格表.含稅!C:S,17,FALSE),0)</f>
        <v>1</v>
      </c>
      <c r="L146">
        <v>13</v>
      </c>
      <c r="M146">
        <f t="shared" si="18"/>
        <v>51.98</v>
      </c>
      <c r="N146">
        <v>0</v>
      </c>
      <c r="O146">
        <f t="shared" si="19"/>
        <v>1689</v>
      </c>
      <c r="P146">
        <v>158</v>
      </c>
      <c r="Q146">
        <v>189</v>
      </c>
      <c r="R146" s="4">
        <v>3.0419999999999998</v>
      </c>
      <c r="S146" s="2">
        <v>1</v>
      </c>
      <c r="T146" s="2">
        <v>1.016</v>
      </c>
      <c r="U146" s="2">
        <v>1.048</v>
      </c>
      <c r="V146" s="2">
        <v>1.0249999999999999</v>
      </c>
      <c r="W146" s="2">
        <v>1.071</v>
      </c>
      <c r="X146" s="2">
        <v>1.0580000000000001</v>
      </c>
      <c r="Y146">
        <f t="shared" si="20"/>
        <v>5138</v>
      </c>
      <c r="Z146">
        <f t="shared" si="21"/>
        <v>4367</v>
      </c>
      <c r="AA146">
        <f t="shared" si="22"/>
        <v>3915</v>
      </c>
      <c r="AB146">
        <f t="shared" si="23"/>
        <v>2692</v>
      </c>
      <c r="AC146">
        <f t="shared" si="24"/>
        <v>3423</v>
      </c>
      <c r="AD146">
        <f t="shared" si="25"/>
        <v>2201</v>
      </c>
      <c r="AE146">
        <f t="shared" si="26"/>
        <v>2446</v>
      </c>
      <c r="AF146">
        <v>0.85</v>
      </c>
      <c r="AG146">
        <v>0.75</v>
      </c>
      <c r="AH146">
        <v>0.5</v>
      </c>
      <c r="AI146">
        <v>0.65</v>
      </c>
      <c r="AJ146">
        <v>0.4</v>
      </c>
      <c r="AK146">
        <v>0.45</v>
      </c>
    </row>
    <row r="147" spans="1:38" x14ac:dyDescent="0.45">
      <c r="A147" t="s">
        <v>508</v>
      </c>
      <c r="B147" t="s">
        <v>37</v>
      </c>
      <c r="C147" t="s">
        <v>547</v>
      </c>
      <c r="D147" t="s">
        <v>548</v>
      </c>
      <c r="E147" t="s">
        <v>81</v>
      </c>
      <c r="F147" t="s">
        <v>549</v>
      </c>
      <c r="G147" t="s">
        <v>550</v>
      </c>
      <c r="H147" t="s">
        <v>41</v>
      </c>
      <c r="I147">
        <v>32.5</v>
      </c>
      <c r="J147">
        <v>25</v>
      </c>
      <c r="K147">
        <f>IFERROR(VLOOKUP(C147,[1]智慧家庭產品價格表.含稅!C:S,17,FALSE),0)</f>
        <v>3</v>
      </c>
      <c r="L147">
        <v>13</v>
      </c>
      <c r="M147">
        <f t="shared" si="18"/>
        <v>31.64</v>
      </c>
      <c r="N147">
        <v>0</v>
      </c>
      <c r="O147">
        <f t="shared" si="19"/>
        <v>1028</v>
      </c>
      <c r="P147">
        <v>158</v>
      </c>
      <c r="Q147">
        <v>315</v>
      </c>
      <c r="R147" s="4">
        <v>2.952</v>
      </c>
      <c r="S147" s="2">
        <v>1</v>
      </c>
      <c r="T147" s="2">
        <v>1.016</v>
      </c>
      <c r="U147" s="2">
        <v>1.0469999999999999</v>
      </c>
      <c r="V147" s="2">
        <v>1.026</v>
      </c>
      <c r="W147" s="2">
        <v>1.071</v>
      </c>
      <c r="X147" s="2">
        <v>1.0580000000000001</v>
      </c>
      <c r="Y147">
        <f t="shared" si="20"/>
        <v>3035</v>
      </c>
      <c r="Z147">
        <f t="shared" si="21"/>
        <v>2580</v>
      </c>
      <c r="AA147">
        <f t="shared" si="22"/>
        <v>2313</v>
      </c>
      <c r="AB147">
        <f t="shared" si="23"/>
        <v>1589</v>
      </c>
      <c r="AC147">
        <f t="shared" si="24"/>
        <v>2024</v>
      </c>
      <c r="AD147">
        <f t="shared" si="25"/>
        <v>1300</v>
      </c>
      <c r="AE147">
        <f t="shared" si="26"/>
        <v>1445</v>
      </c>
      <c r="AF147">
        <v>0.85</v>
      </c>
      <c r="AG147">
        <v>0.75</v>
      </c>
      <c r="AH147">
        <v>0.5</v>
      </c>
      <c r="AI147">
        <v>0.65</v>
      </c>
      <c r="AJ147">
        <v>0.4</v>
      </c>
      <c r="AK147">
        <v>0.45</v>
      </c>
    </row>
    <row r="148" spans="1:38" x14ac:dyDescent="0.45">
      <c r="A148" t="s">
        <v>508</v>
      </c>
      <c r="B148" t="s">
        <v>37</v>
      </c>
      <c r="C148" t="s">
        <v>551</v>
      </c>
      <c r="D148" t="s">
        <v>552</v>
      </c>
      <c r="E148" t="s">
        <v>81</v>
      </c>
      <c r="F148" t="s">
        <v>553</v>
      </c>
      <c r="G148" t="s">
        <v>554</v>
      </c>
      <c r="H148" t="s">
        <v>41</v>
      </c>
      <c r="I148">
        <v>32.5</v>
      </c>
      <c r="J148">
        <v>30</v>
      </c>
      <c r="K148">
        <f>IFERROR(VLOOKUP(C148,[1]智慧家庭產品價格表.含稅!C:S,17,FALSE),0)</f>
        <v>3</v>
      </c>
      <c r="L148">
        <v>13</v>
      </c>
      <c r="M148">
        <f t="shared" si="18"/>
        <v>37.29</v>
      </c>
      <c r="N148">
        <v>0</v>
      </c>
      <c r="O148">
        <f t="shared" si="19"/>
        <v>1212</v>
      </c>
      <c r="P148">
        <v>158</v>
      </c>
      <c r="Q148">
        <v>315</v>
      </c>
      <c r="R148" s="4">
        <v>2.9929999999999999</v>
      </c>
      <c r="S148" s="2">
        <v>1</v>
      </c>
      <c r="T148" s="2">
        <v>1.016</v>
      </c>
      <c r="U148" s="2">
        <v>1.048</v>
      </c>
      <c r="V148" s="2">
        <v>1.0249999999999999</v>
      </c>
      <c r="W148" s="2">
        <v>1.0720000000000001</v>
      </c>
      <c r="X148" s="2">
        <v>1.0580000000000001</v>
      </c>
      <c r="Y148">
        <f t="shared" si="20"/>
        <v>3628</v>
      </c>
      <c r="Z148">
        <f t="shared" si="21"/>
        <v>3084</v>
      </c>
      <c r="AA148">
        <f t="shared" si="22"/>
        <v>2765</v>
      </c>
      <c r="AB148">
        <f t="shared" si="23"/>
        <v>1901</v>
      </c>
      <c r="AC148">
        <f t="shared" si="24"/>
        <v>2417</v>
      </c>
      <c r="AD148">
        <f t="shared" si="25"/>
        <v>1556</v>
      </c>
      <c r="AE148">
        <f t="shared" si="26"/>
        <v>1727</v>
      </c>
      <c r="AF148">
        <v>0.85</v>
      </c>
      <c r="AG148">
        <v>0.75</v>
      </c>
      <c r="AH148">
        <v>0.5</v>
      </c>
      <c r="AI148">
        <v>0.65</v>
      </c>
      <c r="AJ148">
        <v>0.4</v>
      </c>
      <c r="AK148">
        <v>0.45</v>
      </c>
    </row>
    <row r="149" spans="1:38" x14ac:dyDescent="0.45">
      <c r="A149" t="s">
        <v>508</v>
      </c>
      <c r="B149" t="s">
        <v>37</v>
      </c>
      <c r="C149" t="s">
        <v>555</v>
      </c>
      <c r="D149" t="s">
        <v>556</v>
      </c>
      <c r="E149" t="s">
        <v>81</v>
      </c>
      <c r="F149" t="s">
        <v>557</v>
      </c>
      <c r="G149" t="s">
        <v>558</v>
      </c>
      <c r="H149" t="s">
        <v>41</v>
      </c>
      <c r="I149">
        <v>32.5</v>
      </c>
      <c r="J149">
        <v>62</v>
      </c>
      <c r="K149">
        <f>IFERROR(VLOOKUP(C149,[1]智慧家庭產品價格表.含稅!C:S,17,FALSE),0)</f>
        <v>3</v>
      </c>
      <c r="L149">
        <v>13</v>
      </c>
      <c r="M149">
        <f t="shared" si="18"/>
        <v>73.45</v>
      </c>
      <c r="N149">
        <v>0</v>
      </c>
      <c r="O149">
        <f t="shared" si="19"/>
        <v>2387</v>
      </c>
      <c r="P149">
        <v>158</v>
      </c>
      <c r="Q149">
        <v>315</v>
      </c>
      <c r="R149" s="4">
        <v>2.96</v>
      </c>
      <c r="S149" s="2">
        <v>1</v>
      </c>
      <c r="T149" s="2">
        <v>1.016</v>
      </c>
      <c r="U149" s="2">
        <v>1.0469999999999999</v>
      </c>
      <c r="V149" s="2">
        <v>1.0249999999999999</v>
      </c>
      <c r="W149" s="2">
        <v>1.071</v>
      </c>
      <c r="X149" s="2">
        <v>1.0580000000000001</v>
      </c>
      <c r="Y149">
        <f t="shared" si="20"/>
        <v>7066</v>
      </c>
      <c r="Z149">
        <f t="shared" si="21"/>
        <v>6006</v>
      </c>
      <c r="AA149">
        <f t="shared" si="22"/>
        <v>5384</v>
      </c>
      <c r="AB149">
        <f t="shared" si="23"/>
        <v>3699</v>
      </c>
      <c r="AC149">
        <f t="shared" si="24"/>
        <v>4708</v>
      </c>
      <c r="AD149">
        <f t="shared" si="25"/>
        <v>3027</v>
      </c>
      <c r="AE149">
        <f t="shared" si="26"/>
        <v>3364</v>
      </c>
      <c r="AF149">
        <v>0.85</v>
      </c>
      <c r="AG149">
        <v>0.75</v>
      </c>
      <c r="AH149">
        <v>0.5</v>
      </c>
      <c r="AI149">
        <v>0.65</v>
      </c>
      <c r="AJ149">
        <v>0.4</v>
      </c>
      <c r="AK149">
        <v>0.45</v>
      </c>
    </row>
    <row r="150" spans="1:38" x14ac:dyDescent="0.45">
      <c r="A150" t="s">
        <v>508</v>
      </c>
      <c r="B150" t="s">
        <v>37</v>
      </c>
      <c r="C150" t="s">
        <v>559</v>
      </c>
      <c r="D150" t="s">
        <v>560</v>
      </c>
      <c r="E150" t="s">
        <v>38</v>
      </c>
      <c r="F150" t="s">
        <v>561</v>
      </c>
      <c r="G150" t="s">
        <v>562</v>
      </c>
      <c r="H150" t="s">
        <v>41</v>
      </c>
      <c r="I150">
        <v>32.5</v>
      </c>
      <c r="J150">
        <v>8.73</v>
      </c>
      <c r="K150">
        <f>IFERROR(VLOOKUP(C150,[1]智慧家庭產品價格表.含稅!C:S,17,FALSE),0)</f>
        <v>1</v>
      </c>
      <c r="L150">
        <v>13</v>
      </c>
      <c r="M150">
        <f t="shared" si="18"/>
        <v>10.99</v>
      </c>
      <c r="N150">
        <v>20</v>
      </c>
      <c r="O150">
        <f t="shared" si="19"/>
        <v>377</v>
      </c>
      <c r="P150">
        <v>158</v>
      </c>
      <c r="Q150">
        <v>315</v>
      </c>
      <c r="R150" s="4">
        <v>3.4940000000000002</v>
      </c>
      <c r="S150" s="2">
        <v>1</v>
      </c>
      <c r="T150" s="2">
        <v>1.016</v>
      </c>
      <c r="U150" s="2">
        <v>1.048</v>
      </c>
      <c r="V150" s="2">
        <v>1.0249999999999999</v>
      </c>
      <c r="W150" s="2">
        <v>1.0720000000000001</v>
      </c>
      <c r="X150" s="2">
        <v>1.0580000000000001</v>
      </c>
      <c r="Y150">
        <f t="shared" si="20"/>
        <v>1317</v>
      </c>
      <c r="Z150">
        <f t="shared" si="21"/>
        <v>1119</v>
      </c>
      <c r="AA150">
        <f t="shared" si="22"/>
        <v>1004</v>
      </c>
      <c r="AB150">
        <f t="shared" si="23"/>
        <v>690</v>
      </c>
      <c r="AC150">
        <f t="shared" si="24"/>
        <v>877</v>
      </c>
      <c r="AD150">
        <f t="shared" si="25"/>
        <v>565</v>
      </c>
      <c r="AE150">
        <f t="shared" si="26"/>
        <v>627</v>
      </c>
      <c r="AF150">
        <v>0.85</v>
      </c>
      <c r="AG150">
        <v>0.75</v>
      </c>
      <c r="AH150">
        <v>0.5</v>
      </c>
      <c r="AI150">
        <v>0.65</v>
      </c>
      <c r="AJ150">
        <v>0.4</v>
      </c>
      <c r="AK150">
        <v>0.45</v>
      </c>
      <c r="AL150" t="s">
        <v>164</v>
      </c>
    </row>
    <row r="151" spans="1:38" x14ac:dyDescent="0.45">
      <c r="A151" t="s">
        <v>508</v>
      </c>
      <c r="B151" t="s">
        <v>37</v>
      </c>
      <c r="C151" t="s">
        <v>563</v>
      </c>
      <c r="D151" t="s">
        <v>564</v>
      </c>
      <c r="E151" t="s">
        <v>81</v>
      </c>
      <c r="F151" t="s">
        <v>565</v>
      </c>
      <c r="G151" t="s">
        <v>566</v>
      </c>
      <c r="H151" t="s">
        <v>41</v>
      </c>
      <c r="I151">
        <v>32.5</v>
      </c>
      <c r="J151">
        <v>25</v>
      </c>
      <c r="K151">
        <f>IFERROR(VLOOKUP(C151,[1]智慧家庭產品價格表.含稅!C:S,17,FALSE),0)</f>
        <v>4</v>
      </c>
      <c r="L151">
        <v>13</v>
      </c>
      <c r="M151">
        <f t="shared" si="18"/>
        <v>32.770000000000003</v>
      </c>
      <c r="N151">
        <v>0</v>
      </c>
      <c r="O151">
        <f t="shared" si="19"/>
        <v>1065</v>
      </c>
      <c r="P151">
        <v>315</v>
      </c>
      <c r="Q151">
        <v>0</v>
      </c>
      <c r="R151" s="4">
        <v>4.2939999999999996</v>
      </c>
      <c r="S151" s="2">
        <v>0.94099999999999995</v>
      </c>
      <c r="T151" s="2">
        <v>0.95199999999999996</v>
      </c>
      <c r="U151" s="2">
        <v>0.95299999999999996</v>
      </c>
      <c r="V151" s="2">
        <v>0.95199999999999996</v>
      </c>
      <c r="W151" s="2">
        <v>0.95199999999999996</v>
      </c>
      <c r="X151" s="2">
        <v>0.95199999999999996</v>
      </c>
      <c r="Y151">
        <f t="shared" si="20"/>
        <v>4573</v>
      </c>
      <c r="Z151">
        <f t="shared" si="21"/>
        <v>3658</v>
      </c>
      <c r="AA151">
        <f t="shared" si="22"/>
        <v>3265</v>
      </c>
      <c r="AB151">
        <f t="shared" si="23"/>
        <v>2179</v>
      </c>
      <c r="AC151">
        <f t="shared" si="24"/>
        <v>2830</v>
      </c>
      <c r="AD151">
        <f t="shared" si="25"/>
        <v>1741</v>
      </c>
      <c r="AE151">
        <f t="shared" si="26"/>
        <v>1959</v>
      </c>
      <c r="AF151">
        <v>0.85</v>
      </c>
      <c r="AG151">
        <v>0.75</v>
      </c>
      <c r="AH151">
        <v>0.5</v>
      </c>
      <c r="AI151">
        <v>0.65</v>
      </c>
      <c r="AJ151">
        <v>0.4</v>
      </c>
      <c r="AK151">
        <v>0.45</v>
      </c>
    </row>
    <row r="152" spans="1:38" x14ac:dyDescent="0.45">
      <c r="A152" t="s">
        <v>508</v>
      </c>
      <c r="B152" t="s">
        <v>37</v>
      </c>
      <c r="C152" t="s">
        <v>567</v>
      </c>
      <c r="D152" t="s">
        <v>568</v>
      </c>
      <c r="E152" t="s">
        <v>361</v>
      </c>
      <c r="F152" t="s">
        <v>569</v>
      </c>
      <c r="G152" t="s">
        <v>570</v>
      </c>
      <c r="H152" t="s">
        <v>41</v>
      </c>
      <c r="I152">
        <v>32.5</v>
      </c>
      <c r="J152">
        <v>27</v>
      </c>
      <c r="K152">
        <f>IFERROR(VLOOKUP(C152,[1]智慧家庭產品價格表.含稅!C:S,17,FALSE),0)</f>
        <v>4</v>
      </c>
      <c r="L152">
        <v>13</v>
      </c>
      <c r="M152">
        <f t="shared" si="18"/>
        <v>35.03</v>
      </c>
      <c r="N152">
        <v>0</v>
      </c>
      <c r="O152">
        <f t="shared" si="19"/>
        <v>1138</v>
      </c>
      <c r="P152">
        <v>315</v>
      </c>
      <c r="Q152">
        <v>1050</v>
      </c>
      <c r="R152" s="4">
        <v>3.952</v>
      </c>
      <c r="S152" s="2">
        <v>0.94099999999999995</v>
      </c>
      <c r="T152" s="2">
        <v>0.95199999999999996</v>
      </c>
      <c r="U152" s="2">
        <v>0.95199999999999996</v>
      </c>
      <c r="V152" s="2">
        <v>0.95199999999999996</v>
      </c>
      <c r="W152" s="2">
        <v>0.95199999999999996</v>
      </c>
      <c r="X152" s="2">
        <v>0.95199999999999996</v>
      </c>
      <c r="Y152">
        <f t="shared" si="20"/>
        <v>4497</v>
      </c>
      <c r="Z152">
        <f t="shared" si="21"/>
        <v>3597</v>
      </c>
      <c r="AA152">
        <f t="shared" si="22"/>
        <v>3211</v>
      </c>
      <c r="AB152">
        <f t="shared" si="23"/>
        <v>2141</v>
      </c>
      <c r="AC152">
        <f t="shared" si="24"/>
        <v>2783</v>
      </c>
      <c r="AD152">
        <f t="shared" si="25"/>
        <v>1712</v>
      </c>
      <c r="AE152">
        <f t="shared" si="26"/>
        <v>1927</v>
      </c>
      <c r="AF152">
        <v>0.85</v>
      </c>
      <c r="AG152">
        <v>0.75</v>
      </c>
      <c r="AH152">
        <v>0.5</v>
      </c>
      <c r="AI152">
        <v>0.65</v>
      </c>
      <c r="AJ152">
        <v>0.4</v>
      </c>
      <c r="AK152">
        <v>0.45</v>
      </c>
    </row>
    <row r="153" spans="1:38" x14ac:dyDescent="0.45">
      <c r="A153" t="s">
        <v>508</v>
      </c>
      <c r="B153" t="s">
        <v>37</v>
      </c>
      <c r="C153" t="s">
        <v>571</v>
      </c>
      <c r="D153" t="s">
        <v>572</v>
      </c>
      <c r="E153" t="s">
        <v>361</v>
      </c>
      <c r="F153" t="s">
        <v>573</v>
      </c>
      <c r="G153" t="s">
        <v>574</v>
      </c>
      <c r="H153" t="s">
        <v>41</v>
      </c>
      <c r="I153">
        <v>32.5</v>
      </c>
      <c r="J153">
        <v>4</v>
      </c>
      <c r="K153">
        <f>IFERROR(VLOOKUP(C153,[1]智慧家庭產品價格表.含稅!C:S,17,FALSE),0)</f>
        <v>1</v>
      </c>
      <c r="L153">
        <v>13</v>
      </c>
      <c r="M153">
        <f t="shared" si="18"/>
        <v>5.65</v>
      </c>
      <c r="N153">
        <v>0</v>
      </c>
      <c r="O153">
        <f t="shared" si="19"/>
        <v>184</v>
      </c>
      <c r="P153">
        <v>158</v>
      </c>
      <c r="Q153">
        <v>525</v>
      </c>
      <c r="R153" s="4">
        <v>2.859</v>
      </c>
      <c r="S153" s="2">
        <v>0.94099999999999995</v>
      </c>
      <c r="T153" s="2">
        <v>0.95299999999999996</v>
      </c>
      <c r="U153" s="2">
        <v>0.95399999999999996</v>
      </c>
      <c r="V153" s="2">
        <v>0.95299999999999996</v>
      </c>
      <c r="W153" s="2">
        <v>0.95</v>
      </c>
      <c r="X153" s="2">
        <v>0.95399999999999996</v>
      </c>
      <c r="Y153">
        <f t="shared" si="20"/>
        <v>526</v>
      </c>
      <c r="Z153">
        <f t="shared" si="21"/>
        <v>421</v>
      </c>
      <c r="AA153">
        <f t="shared" si="22"/>
        <v>376</v>
      </c>
      <c r="AB153">
        <f t="shared" si="23"/>
        <v>251</v>
      </c>
      <c r="AC153">
        <f t="shared" si="24"/>
        <v>326</v>
      </c>
      <c r="AD153">
        <f t="shared" si="25"/>
        <v>200</v>
      </c>
      <c r="AE153">
        <f t="shared" si="26"/>
        <v>226</v>
      </c>
      <c r="AF153">
        <v>0.85</v>
      </c>
      <c r="AG153">
        <v>0.75</v>
      </c>
      <c r="AH153">
        <v>0.5</v>
      </c>
      <c r="AI153">
        <v>0.65</v>
      </c>
      <c r="AJ153">
        <v>0.4</v>
      </c>
      <c r="AK153">
        <v>0.45</v>
      </c>
    </row>
    <row r="154" spans="1:38" x14ac:dyDescent="0.45">
      <c r="A154" t="s">
        <v>508</v>
      </c>
      <c r="B154" t="s">
        <v>37</v>
      </c>
      <c r="C154" t="s">
        <v>575</v>
      </c>
      <c r="D154" t="s">
        <v>576</v>
      </c>
      <c r="E154" t="s">
        <v>361</v>
      </c>
      <c r="F154" t="s">
        <v>577</v>
      </c>
      <c r="G154" t="s">
        <v>578</v>
      </c>
      <c r="H154" t="s">
        <v>41</v>
      </c>
      <c r="I154">
        <v>32.5</v>
      </c>
      <c r="J154">
        <v>3</v>
      </c>
      <c r="K154">
        <f>IFERROR(VLOOKUP(C154,[1]智慧家庭產品價格表.含稅!C:S,17,FALSE),0)</f>
        <v>1</v>
      </c>
      <c r="L154">
        <v>13</v>
      </c>
      <c r="M154">
        <f t="shared" si="18"/>
        <v>4.5199999999999996</v>
      </c>
      <c r="N154">
        <v>0</v>
      </c>
      <c r="O154">
        <f t="shared" si="19"/>
        <v>147</v>
      </c>
      <c r="P154">
        <v>158</v>
      </c>
      <c r="Q154">
        <v>504</v>
      </c>
      <c r="R154" s="4">
        <v>2.633</v>
      </c>
      <c r="S154" s="2">
        <v>0.94199999999999995</v>
      </c>
      <c r="T154" s="2">
        <v>0.95399999999999996</v>
      </c>
      <c r="U154" s="2">
        <v>0.95099999999999996</v>
      </c>
      <c r="V154" s="2">
        <v>0.95399999999999996</v>
      </c>
      <c r="W154" s="2">
        <v>0.95599999999999996</v>
      </c>
      <c r="X154" s="2">
        <v>0.95199999999999996</v>
      </c>
      <c r="Y154">
        <f t="shared" si="20"/>
        <v>387</v>
      </c>
      <c r="Z154">
        <f t="shared" si="21"/>
        <v>310</v>
      </c>
      <c r="AA154">
        <f t="shared" si="22"/>
        <v>277</v>
      </c>
      <c r="AB154">
        <f t="shared" si="23"/>
        <v>184</v>
      </c>
      <c r="AC154">
        <f t="shared" si="24"/>
        <v>240</v>
      </c>
      <c r="AD154">
        <f t="shared" si="25"/>
        <v>148</v>
      </c>
      <c r="AE154">
        <f t="shared" si="26"/>
        <v>166</v>
      </c>
      <c r="AF154">
        <v>0.85</v>
      </c>
      <c r="AG154">
        <v>0.75</v>
      </c>
      <c r="AH154">
        <v>0.5</v>
      </c>
      <c r="AI154">
        <v>0.65</v>
      </c>
      <c r="AJ154">
        <v>0.4</v>
      </c>
      <c r="AK154">
        <v>0.45</v>
      </c>
    </row>
    <row r="155" spans="1:38" x14ac:dyDescent="0.45">
      <c r="A155" t="s">
        <v>508</v>
      </c>
      <c r="B155" t="s">
        <v>37</v>
      </c>
      <c r="C155" t="s">
        <v>579</v>
      </c>
      <c r="D155" t="s">
        <v>580</v>
      </c>
      <c r="E155" t="s">
        <v>361</v>
      </c>
      <c r="F155" t="s">
        <v>581</v>
      </c>
      <c r="G155" t="s">
        <v>582</v>
      </c>
      <c r="H155" t="s">
        <v>41</v>
      </c>
      <c r="I155">
        <v>32.5</v>
      </c>
      <c r="J155">
        <v>4</v>
      </c>
      <c r="K155">
        <f>IFERROR(VLOOKUP(C155,[1]智慧家庭產品價格表.含稅!C:S,17,FALSE),0)</f>
        <v>1</v>
      </c>
      <c r="L155">
        <v>13</v>
      </c>
      <c r="M155">
        <f t="shared" si="18"/>
        <v>5.65</v>
      </c>
      <c r="N155">
        <v>0</v>
      </c>
      <c r="O155">
        <f t="shared" si="19"/>
        <v>184</v>
      </c>
      <c r="P155">
        <v>158</v>
      </c>
      <c r="Q155">
        <v>525</v>
      </c>
      <c r="R155" s="4">
        <v>2.8809999999999998</v>
      </c>
      <c r="S155" s="2">
        <v>0.94099999999999995</v>
      </c>
      <c r="T155" s="2">
        <v>0.95299999999999996</v>
      </c>
      <c r="U155" s="2">
        <v>0.95499999999999996</v>
      </c>
      <c r="V155" s="2">
        <v>0.95199999999999996</v>
      </c>
      <c r="W155" s="2">
        <v>0.95299999999999996</v>
      </c>
      <c r="X155" s="2">
        <v>0.95099999999999996</v>
      </c>
      <c r="Y155">
        <f t="shared" si="20"/>
        <v>530</v>
      </c>
      <c r="Z155">
        <f t="shared" si="21"/>
        <v>424</v>
      </c>
      <c r="AA155">
        <f t="shared" si="22"/>
        <v>379</v>
      </c>
      <c r="AB155">
        <f t="shared" si="23"/>
        <v>253</v>
      </c>
      <c r="AC155">
        <f t="shared" si="24"/>
        <v>328</v>
      </c>
      <c r="AD155">
        <f t="shared" si="25"/>
        <v>202</v>
      </c>
      <c r="AE155">
        <f t="shared" si="26"/>
        <v>227</v>
      </c>
      <c r="AF155">
        <v>0.85</v>
      </c>
      <c r="AG155">
        <v>0.75</v>
      </c>
      <c r="AH155">
        <v>0.5</v>
      </c>
      <c r="AI155">
        <v>0.65</v>
      </c>
      <c r="AJ155">
        <v>0.4</v>
      </c>
      <c r="AK155">
        <v>0.45</v>
      </c>
    </row>
    <row r="156" spans="1:38" x14ac:dyDescent="0.45">
      <c r="A156" t="s">
        <v>508</v>
      </c>
      <c r="B156" t="s">
        <v>37</v>
      </c>
      <c r="C156" t="s">
        <v>583</v>
      </c>
      <c r="D156" t="s">
        <v>584</v>
      </c>
      <c r="E156" t="s">
        <v>361</v>
      </c>
      <c r="F156" t="s">
        <v>585</v>
      </c>
      <c r="G156" t="s">
        <v>586</v>
      </c>
      <c r="H156" t="s">
        <v>41</v>
      </c>
      <c r="I156">
        <v>32.5</v>
      </c>
      <c r="J156">
        <v>9</v>
      </c>
      <c r="K156">
        <f>IFERROR(VLOOKUP(C156,[1]智慧家庭產品價格表.含稅!C:S,17,FALSE),0)</f>
        <v>1</v>
      </c>
      <c r="L156">
        <v>13</v>
      </c>
      <c r="M156">
        <f t="shared" si="18"/>
        <v>11.3</v>
      </c>
      <c r="N156">
        <v>0</v>
      </c>
      <c r="O156">
        <f t="shared" si="19"/>
        <v>367</v>
      </c>
      <c r="P156">
        <v>158</v>
      </c>
      <c r="Q156">
        <v>525</v>
      </c>
      <c r="R156" s="4">
        <v>3.4089999999999998</v>
      </c>
      <c r="S156" s="2">
        <v>0.94099999999999995</v>
      </c>
      <c r="T156" s="2">
        <v>0.95299999999999996</v>
      </c>
      <c r="U156" s="2">
        <v>0.95299999999999996</v>
      </c>
      <c r="V156" s="2">
        <v>0.95299999999999996</v>
      </c>
      <c r="W156" s="2">
        <v>0.95299999999999996</v>
      </c>
      <c r="X156" s="2">
        <v>0.95199999999999996</v>
      </c>
      <c r="Y156">
        <f t="shared" si="20"/>
        <v>1251</v>
      </c>
      <c r="Z156">
        <f t="shared" si="21"/>
        <v>1001</v>
      </c>
      <c r="AA156">
        <f t="shared" si="22"/>
        <v>894</v>
      </c>
      <c r="AB156">
        <f t="shared" si="23"/>
        <v>596</v>
      </c>
      <c r="AC156">
        <f t="shared" si="24"/>
        <v>775</v>
      </c>
      <c r="AD156">
        <f t="shared" si="25"/>
        <v>477</v>
      </c>
      <c r="AE156">
        <f t="shared" si="26"/>
        <v>536</v>
      </c>
      <c r="AF156">
        <v>0.85</v>
      </c>
      <c r="AG156">
        <v>0.75</v>
      </c>
      <c r="AH156">
        <v>0.5</v>
      </c>
      <c r="AI156">
        <v>0.65</v>
      </c>
      <c r="AJ156">
        <v>0.4</v>
      </c>
      <c r="AK156">
        <v>0.45</v>
      </c>
    </row>
    <row r="157" spans="1:38" x14ac:dyDescent="0.45">
      <c r="A157" t="s">
        <v>508</v>
      </c>
      <c r="B157" t="s">
        <v>37</v>
      </c>
      <c r="C157" t="s">
        <v>587</v>
      </c>
      <c r="D157" t="s">
        <v>588</v>
      </c>
      <c r="E157" t="s">
        <v>361</v>
      </c>
      <c r="F157" t="s">
        <v>589</v>
      </c>
      <c r="G157" t="s">
        <v>590</v>
      </c>
      <c r="H157" t="s">
        <v>41</v>
      </c>
      <c r="I157">
        <v>32.5</v>
      </c>
      <c r="J157">
        <v>9</v>
      </c>
      <c r="K157">
        <f>IFERROR(VLOOKUP(C157,[1]智慧家庭產品價格表.含稅!C:S,17,FALSE),0)</f>
        <v>1</v>
      </c>
      <c r="L157">
        <v>13</v>
      </c>
      <c r="M157">
        <f t="shared" si="18"/>
        <v>11.3</v>
      </c>
      <c r="N157">
        <v>0</v>
      </c>
      <c r="O157">
        <f t="shared" si="19"/>
        <v>367</v>
      </c>
      <c r="P157">
        <v>158</v>
      </c>
      <c r="Q157">
        <v>525</v>
      </c>
      <c r="R157" s="4">
        <v>3.431</v>
      </c>
      <c r="S157" s="2">
        <v>0.94199999999999995</v>
      </c>
      <c r="T157" s="2">
        <v>0.95299999999999996</v>
      </c>
      <c r="U157" s="2">
        <v>0.95299999999999996</v>
      </c>
      <c r="V157" s="2">
        <v>0.95299999999999996</v>
      </c>
      <c r="W157" s="2">
        <v>0.95299999999999996</v>
      </c>
      <c r="X157" s="2">
        <v>0.95299999999999996</v>
      </c>
      <c r="Y157">
        <f t="shared" si="20"/>
        <v>1259</v>
      </c>
      <c r="Z157">
        <f t="shared" si="21"/>
        <v>1008</v>
      </c>
      <c r="AA157">
        <f t="shared" si="22"/>
        <v>900</v>
      </c>
      <c r="AB157">
        <f t="shared" si="23"/>
        <v>600</v>
      </c>
      <c r="AC157">
        <f t="shared" si="24"/>
        <v>780</v>
      </c>
      <c r="AD157">
        <f t="shared" si="25"/>
        <v>480</v>
      </c>
      <c r="AE157">
        <f t="shared" si="26"/>
        <v>540</v>
      </c>
      <c r="AF157">
        <v>0.85</v>
      </c>
      <c r="AG157">
        <v>0.75</v>
      </c>
      <c r="AH157">
        <v>0.5</v>
      </c>
      <c r="AI157">
        <v>0.65</v>
      </c>
      <c r="AJ157">
        <v>0.4</v>
      </c>
      <c r="AK157">
        <v>0.45</v>
      </c>
    </row>
    <row r="158" spans="1:38" x14ac:dyDescent="0.45">
      <c r="A158" t="s">
        <v>508</v>
      </c>
      <c r="B158" t="s">
        <v>37</v>
      </c>
      <c r="C158" t="s">
        <v>591</v>
      </c>
      <c r="D158" t="s">
        <v>592</v>
      </c>
      <c r="E158" t="s">
        <v>361</v>
      </c>
      <c r="F158" t="s">
        <v>593</v>
      </c>
      <c r="G158" t="s">
        <v>594</v>
      </c>
      <c r="H158" t="s">
        <v>41</v>
      </c>
      <c r="I158">
        <v>32.5</v>
      </c>
      <c r="J158">
        <v>10</v>
      </c>
      <c r="K158">
        <f>IFERROR(VLOOKUP(C158,[1]智慧家庭產品價格表.含稅!C:S,17,FALSE),0)</f>
        <v>1</v>
      </c>
      <c r="L158">
        <v>13</v>
      </c>
      <c r="M158">
        <f t="shared" si="18"/>
        <v>12.43</v>
      </c>
      <c r="N158">
        <v>0</v>
      </c>
      <c r="O158">
        <f t="shared" si="19"/>
        <v>404</v>
      </c>
      <c r="P158">
        <v>158</v>
      </c>
      <c r="Q158">
        <v>525</v>
      </c>
      <c r="R158" s="4">
        <v>3.431</v>
      </c>
      <c r="S158" s="2">
        <v>0.94099999999999995</v>
      </c>
      <c r="T158" s="2">
        <v>0.95199999999999996</v>
      </c>
      <c r="U158" s="2">
        <v>0.95199999999999996</v>
      </c>
      <c r="V158" s="2">
        <v>0.95199999999999996</v>
      </c>
      <c r="W158" s="2">
        <v>0.95199999999999996</v>
      </c>
      <c r="X158" s="2">
        <v>0.95199999999999996</v>
      </c>
      <c r="Y158">
        <f t="shared" si="20"/>
        <v>1386</v>
      </c>
      <c r="Z158">
        <f t="shared" si="21"/>
        <v>1109</v>
      </c>
      <c r="AA158">
        <f t="shared" si="22"/>
        <v>990</v>
      </c>
      <c r="AB158">
        <f t="shared" si="23"/>
        <v>660</v>
      </c>
      <c r="AC158">
        <f t="shared" si="24"/>
        <v>858</v>
      </c>
      <c r="AD158">
        <f t="shared" si="25"/>
        <v>528</v>
      </c>
      <c r="AE158">
        <f t="shared" si="26"/>
        <v>594</v>
      </c>
      <c r="AF158">
        <v>0.85</v>
      </c>
      <c r="AG158">
        <v>0.75</v>
      </c>
      <c r="AH158">
        <v>0.5</v>
      </c>
      <c r="AI158">
        <v>0.65</v>
      </c>
      <c r="AJ158">
        <v>0.4</v>
      </c>
      <c r="AK158">
        <v>0.45</v>
      </c>
    </row>
    <row r="159" spans="1:38" x14ac:dyDescent="0.45">
      <c r="A159" t="s">
        <v>508</v>
      </c>
      <c r="B159" t="s">
        <v>37</v>
      </c>
      <c r="C159" t="s">
        <v>595</v>
      </c>
      <c r="D159" t="s">
        <v>596</v>
      </c>
      <c r="E159" t="s">
        <v>81</v>
      </c>
      <c r="F159" t="s">
        <v>597</v>
      </c>
      <c r="G159" t="s">
        <v>598</v>
      </c>
      <c r="H159" t="s">
        <v>41</v>
      </c>
      <c r="I159">
        <v>32.5</v>
      </c>
      <c r="J159">
        <v>2</v>
      </c>
      <c r="K159">
        <f>IFERROR(VLOOKUP(C159,[1]智慧家庭產品價格表.含稅!C:S,17,FALSE),0)</f>
        <v>1</v>
      </c>
      <c r="L159">
        <v>13</v>
      </c>
      <c r="M159">
        <f t="shared" si="18"/>
        <v>3.39</v>
      </c>
      <c r="N159">
        <v>0</v>
      </c>
      <c r="O159">
        <f t="shared" si="19"/>
        <v>110</v>
      </c>
      <c r="P159">
        <v>158</v>
      </c>
      <c r="Q159">
        <v>1050</v>
      </c>
      <c r="R159" s="4">
        <v>2.782</v>
      </c>
      <c r="S159" s="2">
        <v>0.94099999999999995</v>
      </c>
      <c r="T159" s="2">
        <v>0.95399999999999996</v>
      </c>
      <c r="U159" s="2">
        <v>0.95399999999999996</v>
      </c>
      <c r="V159" s="2">
        <v>0.95499999999999996</v>
      </c>
      <c r="W159" s="2">
        <v>0.95599999999999996</v>
      </c>
      <c r="X159" s="2">
        <v>0.95099999999999996</v>
      </c>
      <c r="Y159">
        <f t="shared" si="20"/>
        <v>306</v>
      </c>
      <c r="Z159">
        <f t="shared" si="21"/>
        <v>245</v>
      </c>
      <c r="AA159">
        <f t="shared" si="22"/>
        <v>219</v>
      </c>
      <c r="AB159">
        <f t="shared" si="23"/>
        <v>146</v>
      </c>
      <c r="AC159">
        <f t="shared" si="24"/>
        <v>190</v>
      </c>
      <c r="AD159">
        <f t="shared" si="25"/>
        <v>117</v>
      </c>
      <c r="AE159">
        <f t="shared" si="26"/>
        <v>131</v>
      </c>
      <c r="AF159">
        <v>0.85</v>
      </c>
      <c r="AG159">
        <v>0.75</v>
      </c>
      <c r="AH159">
        <v>0.5</v>
      </c>
      <c r="AI159">
        <v>0.65</v>
      </c>
      <c r="AJ159">
        <v>0.4</v>
      </c>
      <c r="AK159">
        <v>0.45</v>
      </c>
    </row>
    <row r="160" spans="1:38" x14ac:dyDescent="0.45">
      <c r="A160" t="s">
        <v>508</v>
      </c>
      <c r="B160" t="s">
        <v>37</v>
      </c>
      <c r="C160" t="s">
        <v>599</v>
      </c>
      <c r="D160" t="s">
        <v>600</v>
      </c>
      <c r="E160" t="s">
        <v>38</v>
      </c>
      <c r="F160" t="s">
        <v>601</v>
      </c>
      <c r="G160" t="s">
        <v>602</v>
      </c>
      <c r="H160" t="s">
        <v>41</v>
      </c>
      <c r="I160">
        <v>32.5</v>
      </c>
      <c r="J160">
        <v>33</v>
      </c>
      <c r="K160">
        <f>IFERROR(VLOOKUP(C160,[1]智慧家庭產品價格表.含稅!C:S,17,FALSE),0)</f>
        <v>3</v>
      </c>
      <c r="L160">
        <v>13</v>
      </c>
      <c r="M160">
        <f t="shared" si="18"/>
        <v>40.68</v>
      </c>
      <c r="N160">
        <v>0</v>
      </c>
      <c r="O160">
        <f t="shared" si="19"/>
        <v>1322</v>
      </c>
      <c r="P160">
        <v>158</v>
      </c>
      <c r="Q160">
        <v>315</v>
      </c>
      <c r="R160" s="4">
        <v>2.9540000000000002</v>
      </c>
      <c r="S160" s="2">
        <v>1</v>
      </c>
      <c r="T160" s="2">
        <v>1.0149999999999999</v>
      </c>
      <c r="U160" s="2">
        <v>1.0469999999999999</v>
      </c>
      <c r="V160" s="2">
        <v>1.0249999999999999</v>
      </c>
      <c r="W160" s="2">
        <v>1.071</v>
      </c>
      <c r="X160" s="2">
        <v>1.0580000000000001</v>
      </c>
      <c r="Y160">
        <f t="shared" si="20"/>
        <v>3905</v>
      </c>
      <c r="Z160">
        <f t="shared" si="21"/>
        <v>3319</v>
      </c>
      <c r="AA160">
        <f t="shared" si="22"/>
        <v>2973</v>
      </c>
      <c r="AB160">
        <f t="shared" si="23"/>
        <v>2044</v>
      </c>
      <c r="AC160">
        <f t="shared" si="24"/>
        <v>2602</v>
      </c>
      <c r="AD160">
        <f t="shared" si="25"/>
        <v>1673</v>
      </c>
      <c r="AE160">
        <f t="shared" si="26"/>
        <v>1859</v>
      </c>
      <c r="AF160">
        <v>0.85</v>
      </c>
      <c r="AG160">
        <v>0.75</v>
      </c>
      <c r="AH160">
        <v>0.5</v>
      </c>
      <c r="AI160">
        <v>0.65</v>
      </c>
      <c r="AJ160">
        <v>0.4</v>
      </c>
      <c r="AK160">
        <v>0.45</v>
      </c>
    </row>
    <row r="161" spans="1:38" x14ac:dyDescent="0.45">
      <c r="A161" t="s">
        <v>508</v>
      </c>
      <c r="B161" t="s">
        <v>37</v>
      </c>
      <c r="C161" t="s">
        <v>603</v>
      </c>
      <c r="D161" t="s">
        <v>604</v>
      </c>
      <c r="E161" t="s">
        <v>361</v>
      </c>
      <c r="F161" t="s">
        <v>585</v>
      </c>
      <c r="G161" t="s">
        <v>605</v>
      </c>
      <c r="H161" t="s">
        <v>41</v>
      </c>
      <c r="I161">
        <v>32.5</v>
      </c>
      <c r="J161">
        <v>9</v>
      </c>
      <c r="K161">
        <f>IFERROR(VLOOKUP(C161,[1]智慧家庭產品價格表.含稅!C:S,17,FALSE),0)</f>
        <v>1</v>
      </c>
      <c r="L161">
        <v>13</v>
      </c>
      <c r="M161">
        <f t="shared" si="18"/>
        <v>11.3</v>
      </c>
      <c r="N161">
        <v>0</v>
      </c>
      <c r="O161">
        <f t="shared" si="19"/>
        <v>367</v>
      </c>
      <c r="P161">
        <v>52</v>
      </c>
      <c r="Q161">
        <v>0</v>
      </c>
      <c r="R161" s="4">
        <v>3.4470000000000001</v>
      </c>
      <c r="S161" s="2">
        <v>0.94099999999999995</v>
      </c>
      <c r="T161" s="2">
        <v>0.95199999999999996</v>
      </c>
      <c r="U161" s="2">
        <v>0.95199999999999996</v>
      </c>
      <c r="V161" s="2">
        <v>0.95199999999999996</v>
      </c>
      <c r="W161" s="2">
        <v>0.95299999999999996</v>
      </c>
      <c r="X161" s="2">
        <v>0.95199999999999996</v>
      </c>
      <c r="Y161">
        <f t="shared" si="20"/>
        <v>1265</v>
      </c>
      <c r="Z161">
        <f t="shared" si="21"/>
        <v>1012</v>
      </c>
      <c r="AA161">
        <f t="shared" si="22"/>
        <v>903</v>
      </c>
      <c r="AB161">
        <f t="shared" si="23"/>
        <v>602</v>
      </c>
      <c r="AC161">
        <f t="shared" si="24"/>
        <v>783</v>
      </c>
      <c r="AD161">
        <f t="shared" si="25"/>
        <v>482</v>
      </c>
      <c r="AE161">
        <f t="shared" si="26"/>
        <v>542</v>
      </c>
      <c r="AF161">
        <v>0.85</v>
      </c>
      <c r="AG161">
        <v>0.75</v>
      </c>
      <c r="AH161">
        <v>0.5</v>
      </c>
      <c r="AI161">
        <v>0.65</v>
      </c>
      <c r="AJ161">
        <v>0.4</v>
      </c>
      <c r="AK161">
        <v>0.45</v>
      </c>
    </row>
    <row r="162" spans="1:38" x14ac:dyDescent="0.45">
      <c r="A162" t="s">
        <v>508</v>
      </c>
      <c r="B162" t="s">
        <v>37</v>
      </c>
      <c r="C162" t="s">
        <v>606</v>
      </c>
      <c r="D162" t="s">
        <v>607</v>
      </c>
      <c r="E162" t="s">
        <v>361</v>
      </c>
      <c r="F162" t="s">
        <v>589</v>
      </c>
      <c r="G162" t="s">
        <v>608</v>
      </c>
      <c r="H162" t="s">
        <v>41</v>
      </c>
      <c r="I162">
        <v>32.5</v>
      </c>
      <c r="J162">
        <v>9</v>
      </c>
      <c r="K162">
        <f>IFERROR(VLOOKUP(C162,[1]智慧家庭產品價格表.含稅!C:S,17,FALSE),0)</f>
        <v>1</v>
      </c>
      <c r="L162">
        <v>13</v>
      </c>
      <c r="M162">
        <f t="shared" si="18"/>
        <v>11.3</v>
      </c>
      <c r="N162">
        <v>0</v>
      </c>
      <c r="O162">
        <f t="shared" si="19"/>
        <v>367</v>
      </c>
      <c r="P162">
        <v>52</v>
      </c>
      <c r="Q162">
        <v>0</v>
      </c>
      <c r="R162" s="4">
        <v>3.415</v>
      </c>
      <c r="S162" s="2">
        <v>0.94099999999999995</v>
      </c>
      <c r="T162" s="2">
        <v>0.95199999999999996</v>
      </c>
      <c r="U162" s="2">
        <v>0.95099999999999996</v>
      </c>
      <c r="V162" s="2">
        <v>0.95099999999999996</v>
      </c>
      <c r="W162" s="2">
        <v>0.95099999999999996</v>
      </c>
      <c r="X162" s="2">
        <v>0.95299999999999996</v>
      </c>
      <c r="Y162">
        <f t="shared" si="20"/>
        <v>1253</v>
      </c>
      <c r="Z162">
        <f t="shared" si="21"/>
        <v>1002</v>
      </c>
      <c r="AA162">
        <f t="shared" si="22"/>
        <v>895</v>
      </c>
      <c r="AB162">
        <f t="shared" si="23"/>
        <v>596</v>
      </c>
      <c r="AC162">
        <f t="shared" si="24"/>
        <v>775</v>
      </c>
      <c r="AD162">
        <f t="shared" si="25"/>
        <v>477</v>
      </c>
      <c r="AE162">
        <f t="shared" si="26"/>
        <v>537</v>
      </c>
      <c r="AF162">
        <v>0.85</v>
      </c>
      <c r="AG162">
        <v>0.75</v>
      </c>
      <c r="AH162">
        <v>0.5</v>
      </c>
      <c r="AI162">
        <v>0.65</v>
      </c>
      <c r="AJ162">
        <v>0.4</v>
      </c>
      <c r="AK162">
        <v>0.45</v>
      </c>
    </row>
    <row r="163" spans="1:38" x14ac:dyDescent="0.45">
      <c r="A163" t="s">
        <v>508</v>
      </c>
      <c r="B163" t="s">
        <v>37</v>
      </c>
      <c r="C163" t="s">
        <v>609</v>
      </c>
      <c r="D163" t="s">
        <v>610</v>
      </c>
      <c r="E163" t="s">
        <v>361</v>
      </c>
      <c r="F163" t="s">
        <v>611</v>
      </c>
      <c r="G163" t="s">
        <v>612</v>
      </c>
      <c r="H163" t="s">
        <v>41</v>
      </c>
      <c r="I163">
        <v>32.5</v>
      </c>
      <c r="J163">
        <v>10</v>
      </c>
      <c r="K163">
        <f>IFERROR(VLOOKUP(C163,[1]智慧家庭產品價格表.含稅!C:S,17,FALSE),0)</f>
        <v>1</v>
      </c>
      <c r="L163">
        <v>13</v>
      </c>
      <c r="M163">
        <f t="shared" si="18"/>
        <v>12.43</v>
      </c>
      <c r="N163">
        <v>0</v>
      </c>
      <c r="O163">
        <f t="shared" si="19"/>
        <v>404</v>
      </c>
      <c r="P163">
        <v>52</v>
      </c>
      <c r="Q163">
        <v>0</v>
      </c>
      <c r="R163" s="4">
        <v>3.4510000000000001</v>
      </c>
      <c r="S163" s="2">
        <v>0.94099999999999995</v>
      </c>
      <c r="T163" s="2">
        <v>0.95199999999999996</v>
      </c>
      <c r="U163" s="2">
        <v>0.95299999999999996</v>
      </c>
      <c r="V163" s="2">
        <v>0.95199999999999996</v>
      </c>
      <c r="W163" s="2">
        <v>0.95199999999999996</v>
      </c>
      <c r="X163" s="2">
        <v>0.95199999999999996</v>
      </c>
      <c r="Y163">
        <f t="shared" si="20"/>
        <v>1394</v>
      </c>
      <c r="Z163">
        <f t="shared" si="21"/>
        <v>1115</v>
      </c>
      <c r="AA163">
        <f t="shared" si="22"/>
        <v>995</v>
      </c>
      <c r="AB163">
        <f t="shared" si="23"/>
        <v>664</v>
      </c>
      <c r="AC163">
        <f t="shared" si="24"/>
        <v>863</v>
      </c>
      <c r="AD163">
        <f t="shared" si="25"/>
        <v>531</v>
      </c>
      <c r="AE163">
        <f t="shared" si="26"/>
        <v>597</v>
      </c>
      <c r="AF163">
        <v>0.85</v>
      </c>
      <c r="AG163">
        <v>0.75</v>
      </c>
      <c r="AH163">
        <v>0.5</v>
      </c>
      <c r="AI163">
        <v>0.65</v>
      </c>
      <c r="AJ163">
        <v>0.4</v>
      </c>
      <c r="AK163">
        <v>0.45</v>
      </c>
    </row>
    <row r="164" spans="1:38" x14ac:dyDescent="0.45">
      <c r="A164" t="s">
        <v>508</v>
      </c>
      <c r="B164" t="s">
        <v>37</v>
      </c>
      <c r="C164" t="s">
        <v>613</v>
      </c>
      <c r="D164" t="s">
        <v>614</v>
      </c>
      <c r="E164" t="s">
        <v>38</v>
      </c>
      <c r="F164" t="s">
        <v>615</v>
      </c>
      <c r="G164" t="s">
        <v>616</v>
      </c>
      <c r="H164" t="s">
        <v>70</v>
      </c>
      <c r="I164">
        <v>32.5</v>
      </c>
      <c r="J164">
        <v>0</v>
      </c>
      <c r="K164">
        <f>IFERROR(VLOOKUP(C164,[1]智慧家庭產品價格表.含稅!C:S,17,FALSE),0)</f>
        <v>0</v>
      </c>
      <c r="L164">
        <v>13</v>
      </c>
      <c r="M164">
        <f t="shared" si="18"/>
        <v>0</v>
      </c>
      <c r="N164">
        <v>0</v>
      </c>
      <c r="O164">
        <f t="shared" si="19"/>
        <v>0</v>
      </c>
      <c r="P164">
        <v>84</v>
      </c>
      <c r="Q164">
        <v>0</v>
      </c>
      <c r="R164" s="4">
        <v>1</v>
      </c>
      <c r="S164" s="2">
        <v>1.2350000000000001</v>
      </c>
      <c r="T164" s="2" t="e">
        <v>#DIV/0!</v>
      </c>
      <c r="U164" s="2" t="e">
        <v>#DIV/0!</v>
      </c>
      <c r="V164" s="2" t="e">
        <v>#DIV/0!</v>
      </c>
      <c r="W164" s="2" t="e">
        <v>#DIV/0!</v>
      </c>
      <c r="X164" s="2">
        <v>1.4830000000000001</v>
      </c>
      <c r="Y164">
        <f t="shared" si="20"/>
        <v>0</v>
      </c>
      <c r="Z164">
        <f t="shared" si="21"/>
        <v>0</v>
      </c>
      <c r="AA164" t="e">
        <f t="shared" si="22"/>
        <v>#DIV/0!</v>
      </c>
      <c r="AB164" t="e">
        <f t="shared" si="23"/>
        <v>#DIV/0!</v>
      </c>
      <c r="AC164" t="e">
        <f t="shared" si="24"/>
        <v>#DIV/0!</v>
      </c>
      <c r="AD164" t="e">
        <f t="shared" si="25"/>
        <v>#DIV/0!</v>
      </c>
      <c r="AE164">
        <f t="shared" si="26"/>
        <v>0</v>
      </c>
      <c r="AF164">
        <v>0.85</v>
      </c>
      <c r="AG164">
        <v>0.75</v>
      </c>
      <c r="AH164">
        <v>0.5</v>
      </c>
      <c r="AI164">
        <v>0.65</v>
      </c>
      <c r="AJ164">
        <v>0.4</v>
      </c>
      <c r="AK164">
        <v>0.45</v>
      </c>
    </row>
    <row r="165" spans="1:38" x14ac:dyDescent="0.45">
      <c r="A165" t="s">
        <v>508</v>
      </c>
      <c r="B165" t="s">
        <v>37</v>
      </c>
      <c r="C165" t="s">
        <v>617</v>
      </c>
      <c r="D165" t="s">
        <v>618</v>
      </c>
      <c r="E165" t="s">
        <v>38</v>
      </c>
      <c r="F165" t="s">
        <v>619</v>
      </c>
      <c r="G165" t="s">
        <v>620</v>
      </c>
      <c r="H165" t="s">
        <v>41</v>
      </c>
      <c r="I165">
        <v>32.5</v>
      </c>
      <c r="J165">
        <v>10.32</v>
      </c>
      <c r="K165">
        <f>IFERROR(VLOOKUP(C165,[1]智慧家庭產品價格表.含稅!C:S,17,FALSE),0)</f>
        <v>1</v>
      </c>
      <c r="L165">
        <v>13</v>
      </c>
      <c r="M165">
        <f t="shared" si="18"/>
        <v>12.79</v>
      </c>
      <c r="N165">
        <v>20</v>
      </c>
      <c r="O165">
        <f t="shared" si="19"/>
        <v>436</v>
      </c>
      <c r="P165">
        <v>158</v>
      </c>
      <c r="Q165">
        <v>315</v>
      </c>
      <c r="R165" s="4">
        <v>3.3839999999999999</v>
      </c>
      <c r="S165" s="2">
        <v>1</v>
      </c>
      <c r="T165" s="2">
        <v>1.0149999999999999</v>
      </c>
      <c r="U165" s="2">
        <v>1.046</v>
      </c>
      <c r="V165" s="2">
        <v>1.0249999999999999</v>
      </c>
      <c r="W165" s="2">
        <v>1.071</v>
      </c>
      <c r="X165" s="2">
        <v>1.0580000000000001</v>
      </c>
      <c r="Y165">
        <f t="shared" si="20"/>
        <v>1475</v>
      </c>
      <c r="Z165">
        <f t="shared" si="21"/>
        <v>1254</v>
      </c>
      <c r="AA165">
        <f t="shared" si="22"/>
        <v>1123</v>
      </c>
      <c r="AB165">
        <f t="shared" si="23"/>
        <v>771</v>
      </c>
      <c r="AC165">
        <f t="shared" si="24"/>
        <v>983</v>
      </c>
      <c r="AD165">
        <f t="shared" si="25"/>
        <v>632</v>
      </c>
      <c r="AE165">
        <f t="shared" si="26"/>
        <v>702</v>
      </c>
      <c r="AF165">
        <v>0.85</v>
      </c>
      <c r="AG165">
        <v>0.75</v>
      </c>
      <c r="AH165">
        <v>0.5</v>
      </c>
      <c r="AI165">
        <v>0.65</v>
      </c>
      <c r="AJ165">
        <v>0.4</v>
      </c>
      <c r="AK165">
        <v>0.45</v>
      </c>
      <c r="AL165" t="s">
        <v>164</v>
      </c>
    </row>
    <row r="166" spans="1:38" x14ac:dyDescent="0.45">
      <c r="A166" t="s">
        <v>508</v>
      </c>
      <c r="B166" t="s">
        <v>37</v>
      </c>
      <c r="C166" t="s">
        <v>621</v>
      </c>
      <c r="D166" t="s">
        <v>622</v>
      </c>
      <c r="E166" t="s">
        <v>38</v>
      </c>
      <c r="F166" t="s">
        <v>623</v>
      </c>
      <c r="G166" t="s">
        <v>624</v>
      </c>
      <c r="H166" t="s">
        <v>41</v>
      </c>
      <c r="I166">
        <v>32.5</v>
      </c>
      <c r="J166">
        <v>6</v>
      </c>
      <c r="K166">
        <f>IFERROR(VLOOKUP(C166,[1]智慧家庭產品價格表.含稅!C:S,17,FALSE),0)</f>
        <v>0</v>
      </c>
      <c r="L166">
        <v>13</v>
      </c>
      <c r="M166">
        <f t="shared" si="18"/>
        <v>6.78</v>
      </c>
      <c r="N166">
        <v>75</v>
      </c>
      <c r="O166">
        <f t="shared" si="19"/>
        <v>295</v>
      </c>
      <c r="P166">
        <v>210</v>
      </c>
      <c r="Q166">
        <v>525</v>
      </c>
      <c r="R166" s="4">
        <v>4.9800000000000004</v>
      </c>
      <c r="S166" s="2">
        <v>0.94099999999999995</v>
      </c>
      <c r="T166" s="2">
        <v>0.95299999999999996</v>
      </c>
      <c r="U166" s="2">
        <v>0.95299999999999996</v>
      </c>
      <c r="V166" s="2">
        <v>0.95299999999999996</v>
      </c>
      <c r="W166" s="2">
        <v>0.95299999999999996</v>
      </c>
      <c r="X166" s="2">
        <v>0.95299999999999996</v>
      </c>
      <c r="Y166">
        <f t="shared" si="20"/>
        <v>1469</v>
      </c>
      <c r="Z166">
        <f t="shared" si="21"/>
        <v>1175</v>
      </c>
      <c r="AA166">
        <f t="shared" si="22"/>
        <v>1050</v>
      </c>
      <c r="AB166">
        <f t="shared" si="23"/>
        <v>700</v>
      </c>
      <c r="AC166">
        <f t="shared" si="24"/>
        <v>910</v>
      </c>
      <c r="AD166">
        <f t="shared" si="25"/>
        <v>560</v>
      </c>
      <c r="AE166">
        <f t="shared" si="26"/>
        <v>630</v>
      </c>
      <c r="AF166">
        <v>0.85</v>
      </c>
      <c r="AG166">
        <v>0.75</v>
      </c>
      <c r="AH166">
        <v>0.5</v>
      </c>
      <c r="AI166">
        <v>0.65</v>
      </c>
      <c r="AJ166">
        <v>0.4</v>
      </c>
      <c r="AK166">
        <v>0.45</v>
      </c>
    </row>
    <row r="167" spans="1:38" x14ac:dyDescent="0.45">
      <c r="A167" t="s">
        <v>508</v>
      </c>
      <c r="B167" t="s">
        <v>37</v>
      </c>
      <c r="C167" t="s">
        <v>625</v>
      </c>
      <c r="D167" t="s">
        <v>626</v>
      </c>
      <c r="E167" t="s">
        <v>38</v>
      </c>
      <c r="F167" t="s">
        <v>627</v>
      </c>
      <c r="G167" t="s">
        <v>628</v>
      </c>
      <c r="H167" t="s">
        <v>41</v>
      </c>
      <c r="I167">
        <v>32.5</v>
      </c>
      <c r="J167">
        <v>6</v>
      </c>
      <c r="K167">
        <f>IFERROR(VLOOKUP(C167,[1]智慧家庭產品價格表.含稅!C:S,17,FALSE),0)</f>
        <v>0</v>
      </c>
      <c r="L167">
        <v>13</v>
      </c>
      <c r="M167">
        <f t="shared" si="18"/>
        <v>6.78</v>
      </c>
      <c r="N167">
        <v>75</v>
      </c>
      <c r="O167">
        <f t="shared" si="19"/>
        <v>295</v>
      </c>
      <c r="P167">
        <v>210</v>
      </c>
      <c r="Q167">
        <v>525</v>
      </c>
      <c r="R167" s="4">
        <v>4.9800000000000004</v>
      </c>
      <c r="S167" s="2">
        <v>0.94099999999999995</v>
      </c>
      <c r="T167" s="2">
        <v>0.95299999999999996</v>
      </c>
      <c r="U167" s="2">
        <v>0.95299999999999996</v>
      </c>
      <c r="V167" s="2">
        <v>0.95299999999999996</v>
      </c>
      <c r="W167" s="2">
        <v>0.95299999999999996</v>
      </c>
      <c r="X167" s="2">
        <v>0.95299999999999996</v>
      </c>
      <c r="Y167">
        <f t="shared" si="20"/>
        <v>1469</v>
      </c>
      <c r="Z167">
        <f t="shared" si="21"/>
        <v>1175</v>
      </c>
      <c r="AA167">
        <f t="shared" si="22"/>
        <v>1050</v>
      </c>
      <c r="AB167">
        <f t="shared" si="23"/>
        <v>700</v>
      </c>
      <c r="AC167">
        <f t="shared" si="24"/>
        <v>910</v>
      </c>
      <c r="AD167">
        <f t="shared" si="25"/>
        <v>560</v>
      </c>
      <c r="AE167">
        <f t="shared" si="26"/>
        <v>630</v>
      </c>
      <c r="AF167">
        <v>0.85</v>
      </c>
      <c r="AG167">
        <v>0.75</v>
      </c>
      <c r="AH167">
        <v>0.5</v>
      </c>
      <c r="AI167">
        <v>0.65</v>
      </c>
      <c r="AJ167">
        <v>0.4</v>
      </c>
      <c r="AK167">
        <v>0.45</v>
      </c>
    </row>
    <row r="168" spans="1:38" x14ac:dyDescent="0.45">
      <c r="A168" t="s">
        <v>508</v>
      </c>
      <c r="B168" t="s">
        <v>37</v>
      </c>
      <c r="C168" t="s">
        <v>629</v>
      </c>
      <c r="D168" t="s">
        <v>630</v>
      </c>
      <c r="E168" t="s">
        <v>38</v>
      </c>
      <c r="F168" t="s">
        <v>631</v>
      </c>
      <c r="G168" t="s">
        <v>632</v>
      </c>
      <c r="H168" t="s">
        <v>41</v>
      </c>
      <c r="I168">
        <v>32.5</v>
      </c>
      <c r="J168">
        <v>15</v>
      </c>
      <c r="K168">
        <f>IFERROR(VLOOKUP(C168,[1]智慧家庭產品價格表.含稅!C:S,17,FALSE),0)</f>
        <v>3</v>
      </c>
      <c r="L168">
        <v>13</v>
      </c>
      <c r="M168">
        <f t="shared" si="18"/>
        <v>20.34</v>
      </c>
      <c r="N168">
        <v>20</v>
      </c>
      <c r="O168">
        <f t="shared" si="19"/>
        <v>681</v>
      </c>
      <c r="P168">
        <v>158</v>
      </c>
      <c r="Q168">
        <v>317</v>
      </c>
      <c r="R168" s="4">
        <v>3.677</v>
      </c>
      <c r="S168" s="2">
        <v>1</v>
      </c>
      <c r="T168" s="2">
        <v>1.016</v>
      </c>
      <c r="U168" s="2">
        <v>1.048</v>
      </c>
      <c r="V168" s="2">
        <v>1.0249999999999999</v>
      </c>
      <c r="W168" s="2">
        <v>1.071</v>
      </c>
      <c r="X168" s="2">
        <v>1.0580000000000001</v>
      </c>
      <c r="Y168">
        <f t="shared" si="20"/>
        <v>2504</v>
      </c>
      <c r="Z168">
        <f t="shared" si="21"/>
        <v>2128</v>
      </c>
      <c r="AA168">
        <f t="shared" si="22"/>
        <v>1908</v>
      </c>
      <c r="AB168">
        <f t="shared" si="23"/>
        <v>1312</v>
      </c>
      <c r="AC168">
        <f t="shared" si="24"/>
        <v>1668</v>
      </c>
      <c r="AD168">
        <f t="shared" si="25"/>
        <v>1073</v>
      </c>
      <c r="AE168">
        <f t="shared" si="26"/>
        <v>1192</v>
      </c>
      <c r="AF168">
        <v>0.85</v>
      </c>
      <c r="AG168">
        <v>0.75</v>
      </c>
      <c r="AH168">
        <v>0.5</v>
      </c>
      <c r="AI168">
        <v>0.65</v>
      </c>
      <c r="AJ168">
        <v>0.4</v>
      </c>
      <c r="AK168">
        <v>0.45</v>
      </c>
      <c r="AL168" t="s">
        <v>164</v>
      </c>
    </row>
    <row r="169" spans="1:38" x14ac:dyDescent="0.45">
      <c r="A169" t="s">
        <v>508</v>
      </c>
      <c r="B169" t="s">
        <v>37</v>
      </c>
      <c r="C169" t="s">
        <v>633</v>
      </c>
      <c r="D169" t="s">
        <v>634</v>
      </c>
      <c r="E169" t="s">
        <v>38</v>
      </c>
      <c r="F169" t="s">
        <v>635</v>
      </c>
      <c r="G169" t="s">
        <v>636</v>
      </c>
      <c r="H169" t="s">
        <v>41</v>
      </c>
      <c r="I169">
        <v>32.5</v>
      </c>
      <c r="J169">
        <v>23</v>
      </c>
      <c r="K169">
        <f>IFERROR(VLOOKUP(C169,[1]智慧家庭產品價格表.含稅!C:S,17,FALSE),0)</f>
        <v>1</v>
      </c>
      <c r="L169">
        <v>13</v>
      </c>
      <c r="M169">
        <f t="shared" si="18"/>
        <v>27.12</v>
      </c>
      <c r="N169">
        <v>20</v>
      </c>
      <c r="O169">
        <f t="shared" si="19"/>
        <v>901</v>
      </c>
      <c r="P169">
        <v>158</v>
      </c>
      <c r="Q169">
        <v>315</v>
      </c>
      <c r="R169" s="4">
        <v>3.9169999999999998</v>
      </c>
      <c r="S169" s="2">
        <v>0.94099999999999995</v>
      </c>
      <c r="T169" s="2">
        <v>0.95199999999999996</v>
      </c>
      <c r="U169" s="2">
        <v>0.95199999999999996</v>
      </c>
      <c r="V169" s="2">
        <v>0.95199999999999996</v>
      </c>
      <c r="W169" s="2">
        <v>0.95199999999999996</v>
      </c>
      <c r="X169" s="2">
        <v>0.95199999999999996</v>
      </c>
      <c r="Y169">
        <f t="shared" si="20"/>
        <v>3529</v>
      </c>
      <c r="Z169">
        <f t="shared" si="21"/>
        <v>2823</v>
      </c>
      <c r="AA169">
        <f t="shared" si="22"/>
        <v>2520</v>
      </c>
      <c r="AB169">
        <f t="shared" si="23"/>
        <v>1680</v>
      </c>
      <c r="AC169">
        <f t="shared" si="24"/>
        <v>2184</v>
      </c>
      <c r="AD169">
        <f t="shared" si="25"/>
        <v>1344</v>
      </c>
      <c r="AE169">
        <f t="shared" si="26"/>
        <v>1512</v>
      </c>
      <c r="AF169">
        <v>0.85</v>
      </c>
      <c r="AG169">
        <v>0.75</v>
      </c>
      <c r="AH169">
        <v>0.5</v>
      </c>
      <c r="AI169">
        <v>0.65</v>
      </c>
      <c r="AJ169">
        <v>0.4</v>
      </c>
      <c r="AK169">
        <v>0.45</v>
      </c>
      <c r="AL169" t="s">
        <v>164</v>
      </c>
    </row>
    <row r="170" spans="1:38" x14ac:dyDescent="0.45">
      <c r="A170" t="s">
        <v>508</v>
      </c>
      <c r="B170" t="s">
        <v>37</v>
      </c>
      <c r="C170" t="s">
        <v>637</v>
      </c>
      <c r="D170" t="s">
        <v>638</v>
      </c>
      <c r="E170" t="s">
        <v>38</v>
      </c>
      <c r="F170" t="s">
        <v>639</v>
      </c>
      <c r="G170" t="s">
        <v>640</v>
      </c>
      <c r="H170" t="s">
        <v>41</v>
      </c>
      <c r="I170">
        <v>32.5</v>
      </c>
      <c r="J170">
        <v>23</v>
      </c>
      <c r="K170">
        <f>IFERROR(VLOOKUP(C170,[1]智慧家庭產品價格表.含稅!C:S,17,FALSE),0)</f>
        <v>1</v>
      </c>
      <c r="L170">
        <v>13</v>
      </c>
      <c r="M170">
        <f t="shared" si="18"/>
        <v>27.12</v>
      </c>
      <c r="N170">
        <v>20</v>
      </c>
      <c r="O170">
        <f t="shared" si="19"/>
        <v>901</v>
      </c>
      <c r="P170">
        <v>158</v>
      </c>
      <c r="Q170">
        <v>315</v>
      </c>
      <c r="R170" s="4">
        <v>4.1230000000000002</v>
      </c>
      <c r="S170" s="2">
        <v>0.94099999999999995</v>
      </c>
      <c r="T170" s="2">
        <v>0.95199999999999996</v>
      </c>
      <c r="U170" s="2">
        <v>0.95199999999999996</v>
      </c>
      <c r="V170" s="2">
        <v>0.95199999999999996</v>
      </c>
      <c r="W170" s="2">
        <v>0.95199999999999996</v>
      </c>
      <c r="X170" s="2">
        <v>0.95299999999999996</v>
      </c>
      <c r="Y170">
        <f t="shared" si="20"/>
        <v>3715</v>
      </c>
      <c r="Z170">
        <f t="shared" si="21"/>
        <v>2971</v>
      </c>
      <c r="AA170">
        <f t="shared" si="22"/>
        <v>2653</v>
      </c>
      <c r="AB170">
        <f t="shared" si="23"/>
        <v>1768</v>
      </c>
      <c r="AC170">
        <f t="shared" si="24"/>
        <v>2299</v>
      </c>
      <c r="AD170">
        <f t="shared" si="25"/>
        <v>1415</v>
      </c>
      <c r="AE170">
        <f t="shared" si="26"/>
        <v>1593</v>
      </c>
      <c r="AF170">
        <v>0.85</v>
      </c>
      <c r="AG170">
        <v>0.75</v>
      </c>
      <c r="AH170">
        <v>0.5</v>
      </c>
      <c r="AI170">
        <v>0.65</v>
      </c>
      <c r="AJ170">
        <v>0.4</v>
      </c>
      <c r="AK170">
        <v>0.45</v>
      </c>
      <c r="AL170" t="s">
        <v>164</v>
      </c>
    </row>
    <row r="171" spans="1:38" x14ac:dyDescent="0.45">
      <c r="A171" t="s">
        <v>508</v>
      </c>
      <c r="B171" t="s">
        <v>37</v>
      </c>
      <c r="C171" t="s">
        <v>641</v>
      </c>
      <c r="D171" t="s">
        <v>642</v>
      </c>
      <c r="E171" t="s">
        <v>38</v>
      </c>
      <c r="F171" t="s">
        <v>643</v>
      </c>
      <c r="G171" t="s">
        <v>644</v>
      </c>
      <c r="H171" t="s">
        <v>41</v>
      </c>
      <c r="I171">
        <v>32.5</v>
      </c>
      <c r="J171">
        <v>25</v>
      </c>
      <c r="K171">
        <f>IFERROR(VLOOKUP(C171,[1]智慧家庭產品價格表.含稅!C:S,17,FALSE),0)</f>
        <v>1</v>
      </c>
      <c r="L171">
        <v>13</v>
      </c>
      <c r="M171">
        <f t="shared" si="18"/>
        <v>29.38</v>
      </c>
      <c r="N171">
        <v>20</v>
      </c>
      <c r="O171">
        <f t="shared" si="19"/>
        <v>975</v>
      </c>
      <c r="P171">
        <v>158</v>
      </c>
      <c r="Q171">
        <v>315</v>
      </c>
      <c r="R171" s="4">
        <v>4.1029999999999998</v>
      </c>
      <c r="S171" s="2">
        <v>0.94099999999999995</v>
      </c>
      <c r="T171" s="2">
        <v>0.95199999999999996</v>
      </c>
      <c r="U171" s="2">
        <v>0.95199999999999996</v>
      </c>
      <c r="V171" s="2">
        <v>0.95199999999999996</v>
      </c>
      <c r="W171" s="2">
        <v>0.95199999999999996</v>
      </c>
      <c r="X171" s="2">
        <v>0.95199999999999996</v>
      </c>
      <c r="Y171">
        <f t="shared" si="20"/>
        <v>4000</v>
      </c>
      <c r="Z171">
        <f t="shared" si="21"/>
        <v>3199</v>
      </c>
      <c r="AA171">
        <f t="shared" si="22"/>
        <v>2856</v>
      </c>
      <c r="AB171">
        <f t="shared" si="23"/>
        <v>1904</v>
      </c>
      <c r="AC171">
        <f t="shared" si="24"/>
        <v>2475</v>
      </c>
      <c r="AD171">
        <f t="shared" si="25"/>
        <v>1523</v>
      </c>
      <c r="AE171">
        <f t="shared" si="26"/>
        <v>1714</v>
      </c>
      <c r="AF171">
        <v>0.85</v>
      </c>
      <c r="AG171">
        <v>0.75</v>
      </c>
      <c r="AH171">
        <v>0.5</v>
      </c>
      <c r="AI171">
        <v>0.65</v>
      </c>
      <c r="AJ171">
        <v>0.4</v>
      </c>
      <c r="AK171">
        <v>0.45</v>
      </c>
      <c r="AL171" t="s">
        <v>164</v>
      </c>
    </row>
    <row r="172" spans="1:38" x14ac:dyDescent="0.45">
      <c r="A172" t="s">
        <v>508</v>
      </c>
      <c r="B172" t="s">
        <v>37</v>
      </c>
      <c r="C172" t="s">
        <v>645</v>
      </c>
      <c r="D172" t="s">
        <v>646</v>
      </c>
      <c r="E172" t="s">
        <v>38</v>
      </c>
      <c r="F172" t="s">
        <v>647</v>
      </c>
      <c r="G172" t="s">
        <v>648</v>
      </c>
      <c r="H172" t="s">
        <v>41</v>
      </c>
      <c r="I172">
        <v>32.5</v>
      </c>
      <c r="J172">
        <v>25</v>
      </c>
      <c r="K172">
        <f>IFERROR(VLOOKUP(C172,[1]智慧家庭產品價格表.含稅!C:S,17,FALSE),0)</f>
        <v>1</v>
      </c>
      <c r="L172">
        <v>13</v>
      </c>
      <c r="M172">
        <f t="shared" si="18"/>
        <v>29.38</v>
      </c>
      <c r="N172">
        <v>20</v>
      </c>
      <c r="O172">
        <f t="shared" si="19"/>
        <v>975</v>
      </c>
      <c r="P172">
        <v>158</v>
      </c>
      <c r="Q172">
        <v>315</v>
      </c>
      <c r="R172" s="4">
        <v>4.1070000000000002</v>
      </c>
      <c r="S172" s="2">
        <v>0.94099999999999995</v>
      </c>
      <c r="T172" s="2">
        <v>0.95199999999999996</v>
      </c>
      <c r="U172" s="2">
        <v>0.95199999999999996</v>
      </c>
      <c r="V172" s="2">
        <v>0.95199999999999996</v>
      </c>
      <c r="W172" s="2">
        <v>0.95199999999999996</v>
      </c>
      <c r="X172" s="2">
        <v>0.95199999999999996</v>
      </c>
      <c r="Y172">
        <f t="shared" si="20"/>
        <v>4004</v>
      </c>
      <c r="Z172">
        <f t="shared" si="21"/>
        <v>3203</v>
      </c>
      <c r="AA172">
        <f t="shared" si="22"/>
        <v>2859</v>
      </c>
      <c r="AB172">
        <f t="shared" si="23"/>
        <v>1906</v>
      </c>
      <c r="AC172">
        <f t="shared" si="24"/>
        <v>2478</v>
      </c>
      <c r="AD172">
        <f t="shared" si="25"/>
        <v>1525</v>
      </c>
      <c r="AE172">
        <f t="shared" si="26"/>
        <v>1715</v>
      </c>
      <c r="AF172">
        <v>0.85</v>
      </c>
      <c r="AG172">
        <v>0.75</v>
      </c>
      <c r="AH172">
        <v>0.5</v>
      </c>
      <c r="AI172">
        <v>0.65</v>
      </c>
      <c r="AJ172">
        <v>0.4</v>
      </c>
      <c r="AK172">
        <v>0.45</v>
      </c>
      <c r="AL172" t="s">
        <v>164</v>
      </c>
    </row>
    <row r="173" spans="1:38" x14ac:dyDescent="0.45">
      <c r="A173" t="s">
        <v>508</v>
      </c>
      <c r="B173" t="s">
        <v>37</v>
      </c>
      <c r="C173" t="s">
        <v>649</v>
      </c>
      <c r="D173" t="s">
        <v>650</v>
      </c>
      <c r="E173" t="s">
        <v>38</v>
      </c>
      <c r="F173" t="s">
        <v>651</v>
      </c>
      <c r="G173" t="s">
        <v>652</v>
      </c>
      <c r="H173" t="s">
        <v>41</v>
      </c>
      <c r="I173">
        <v>32.5</v>
      </c>
      <c r="J173">
        <v>38</v>
      </c>
      <c r="K173">
        <f>IFERROR(VLOOKUP(C173,[1]智慧家庭產品價格表.含稅!C:S,17,FALSE),0)</f>
        <v>1</v>
      </c>
      <c r="L173">
        <v>13</v>
      </c>
      <c r="M173">
        <f t="shared" si="18"/>
        <v>44.07</v>
      </c>
      <c r="N173">
        <v>20</v>
      </c>
      <c r="O173">
        <f t="shared" si="19"/>
        <v>1452</v>
      </c>
      <c r="P173">
        <v>158</v>
      </c>
      <c r="Q173">
        <v>315</v>
      </c>
      <c r="R173" s="4">
        <v>2.839</v>
      </c>
      <c r="S173" s="2">
        <v>0.94099999999999995</v>
      </c>
      <c r="T173" s="2">
        <v>0.95199999999999996</v>
      </c>
      <c r="U173" s="2">
        <v>0.95199999999999996</v>
      </c>
      <c r="V173" s="2">
        <v>0.95199999999999996</v>
      </c>
      <c r="W173" s="2">
        <v>0.95199999999999996</v>
      </c>
      <c r="X173" s="2">
        <v>0.95299999999999996</v>
      </c>
      <c r="Y173">
        <f t="shared" si="20"/>
        <v>4122</v>
      </c>
      <c r="Z173">
        <f t="shared" si="21"/>
        <v>3297</v>
      </c>
      <c r="AA173">
        <f t="shared" si="22"/>
        <v>2943</v>
      </c>
      <c r="AB173">
        <f t="shared" si="23"/>
        <v>1962</v>
      </c>
      <c r="AC173">
        <f t="shared" si="24"/>
        <v>2551</v>
      </c>
      <c r="AD173">
        <f t="shared" si="25"/>
        <v>1570</v>
      </c>
      <c r="AE173">
        <f t="shared" si="26"/>
        <v>1768</v>
      </c>
      <c r="AF173">
        <v>0.85</v>
      </c>
      <c r="AG173">
        <v>0.75</v>
      </c>
      <c r="AH173">
        <v>0.5</v>
      </c>
      <c r="AI173">
        <v>0.65</v>
      </c>
      <c r="AJ173">
        <v>0.4</v>
      </c>
      <c r="AK173">
        <v>0.45</v>
      </c>
      <c r="AL173" t="s">
        <v>126</v>
      </c>
    </row>
    <row r="174" spans="1:38" x14ac:dyDescent="0.45">
      <c r="A174" t="s">
        <v>508</v>
      </c>
      <c r="B174" t="s">
        <v>37</v>
      </c>
      <c r="C174" t="s">
        <v>653</v>
      </c>
      <c r="D174" t="s">
        <v>654</v>
      </c>
      <c r="E174" t="s">
        <v>38</v>
      </c>
      <c r="F174" t="s">
        <v>655</v>
      </c>
      <c r="G174" t="s">
        <v>656</v>
      </c>
      <c r="H174" t="s">
        <v>41</v>
      </c>
      <c r="I174">
        <v>32.5</v>
      </c>
      <c r="J174">
        <v>38</v>
      </c>
      <c r="K174">
        <f>IFERROR(VLOOKUP(C174,[1]智慧家庭產品價格表.含稅!C:S,17,FALSE),0)</f>
        <v>1</v>
      </c>
      <c r="L174">
        <v>13</v>
      </c>
      <c r="M174">
        <f t="shared" si="18"/>
        <v>44.07</v>
      </c>
      <c r="N174">
        <v>20</v>
      </c>
      <c r="O174">
        <f t="shared" si="19"/>
        <v>1452</v>
      </c>
      <c r="P174">
        <v>158</v>
      </c>
      <c r="Q174">
        <v>315</v>
      </c>
      <c r="R174" s="4">
        <v>2.8490000000000002</v>
      </c>
      <c r="S174" s="2">
        <v>0.94099999999999995</v>
      </c>
      <c r="T174" s="2">
        <v>0.95199999999999996</v>
      </c>
      <c r="U174" s="2">
        <v>0.95199999999999996</v>
      </c>
      <c r="V174" s="2">
        <v>0.95199999999999996</v>
      </c>
      <c r="W174" s="2">
        <v>0.95199999999999996</v>
      </c>
      <c r="X174" s="2">
        <v>0.95299999999999996</v>
      </c>
      <c r="Y174">
        <f t="shared" si="20"/>
        <v>4137</v>
      </c>
      <c r="Z174">
        <f t="shared" si="21"/>
        <v>3309</v>
      </c>
      <c r="AA174">
        <f t="shared" si="22"/>
        <v>2954</v>
      </c>
      <c r="AB174">
        <f t="shared" si="23"/>
        <v>1969</v>
      </c>
      <c r="AC174">
        <f t="shared" si="24"/>
        <v>2560</v>
      </c>
      <c r="AD174">
        <f t="shared" si="25"/>
        <v>1575</v>
      </c>
      <c r="AE174">
        <f t="shared" si="26"/>
        <v>1774</v>
      </c>
      <c r="AF174">
        <v>0.85</v>
      </c>
      <c r="AG174">
        <v>0.75</v>
      </c>
      <c r="AH174">
        <v>0.5</v>
      </c>
      <c r="AI174">
        <v>0.65</v>
      </c>
      <c r="AJ174">
        <v>0.4</v>
      </c>
      <c r="AK174">
        <v>0.45</v>
      </c>
      <c r="AL174" t="s">
        <v>126</v>
      </c>
    </row>
    <row r="175" spans="1:38" x14ac:dyDescent="0.45">
      <c r="A175" t="s">
        <v>508</v>
      </c>
      <c r="B175" t="s">
        <v>37</v>
      </c>
      <c r="C175" t="s">
        <v>657</v>
      </c>
      <c r="D175" t="s">
        <v>658</v>
      </c>
      <c r="E175" t="s">
        <v>38</v>
      </c>
      <c r="F175" t="s">
        <v>659</v>
      </c>
      <c r="G175" t="s">
        <v>660</v>
      </c>
      <c r="H175" t="s">
        <v>41</v>
      </c>
      <c r="I175">
        <v>32.5</v>
      </c>
      <c r="J175">
        <v>38</v>
      </c>
      <c r="K175">
        <f>IFERROR(VLOOKUP(C175,[1]智慧家庭產品價格表.含稅!C:S,17,FALSE),0)</f>
        <v>1</v>
      </c>
      <c r="L175">
        <v>13</v>
      </c>
      <c r="M175">
        <f t="shared" si="18"/>
        <v>44.07</v>
      </c>
      <c r="N175">
        <v>20</v>
      </c>
      <c r="O175">
        <f t="shared" si="19"/>
        <v>1452</v>
      </c>
      <c r="P175">
        <v>158</v>
      </c>
      <c r="Q175">
        <v>315</v>
      </c>
      <c r="R175" s="4">
        <v>2.8490000000000002</v>
      </c>
      <c r="S175" s="2">
        <v>0.94099999999999995</v>
      </c>
      <c r="T175" s="2">
        <v>0.95199999999999996</v>
      </c>
      <c r="U175" s="2">
        <v>0.95199999999999996</v>
      </c>
      <c r="V175" s="2">
        <v>0.95199999999999996</v>
      </c>
      <c r="W175" s="2">
        <v>0.95199999999999996</v>
      </c>
      <c r="X175" s="2">
        <v>0.95299999999999996</v>
      </c>
      <c r="Y175">
        <f t="shared" si="20"/>
        <v>4137</v>
      </c>
      <c r="Z175">
        <f t="shared" si="21"/>
        <v>3309</v>
      </c>
      <c r="AA175">
        <f t="shared" si="22"/>
        <v>2954</v>
      </c>
      <c r="AB175">
        <f t="shared" si="23"/>
        <v>1969</v>
      </c>
      <c r="AC175">
        <f t="shared" si="24"/>
        <v>2560</v>
      </c>
      <c r="AD175">
        <f t="shared" si="25"/>
        <v>1575</v>
      </c>
      <c r="AE175">
        <f t="shared" si="26"/>
        <v>1774</v>
      </c>
      <c r="AF175">
        <v>0.85</v>
      </c>
      <c r="AG175">
        <v>0.75</v>
      </c>
      <c r="AH175">
        <v>0.5</v>
      </c>
      <c r="AI175">
        <v>0.65</v>
      </c>
      <c r="AJ175">
        <v>0.4</v>
      </c>
      <c r="AK175">
        <v>0.45</v>
      </c>
      <c r="AL175" t="s">
        <v>126</v>
      </c>
    </row>
    <row r="176" spans="1:38" x14ac:dyDescent="0.45">
      <c r="A176" t="s">
        <v>508</v>
      </c>
      <c r="B176" t="s">
        <v>37</v>
      </c>
      <c r="C176" t="s">
        <v>661</v>
      </c>
      <c r="D176" t="s">
        <v>662</v>
      </c>
      <c r="E176" t="s">
        <v>38</v>
      </c>
      <c r="F176" t="s">
        <v>663</v>
      </c>
      <c r="G176" t="s">
        <v>664</v>
      </c>
      <c r="H176" t="s">
        <v>41</v>
      </c>
      <c r="I176">
        <v>32.5</v>
      </c>
      <c r="J176">
        <v>22</v>
      </c>
      <c r="K176">
        <f>IFERROR(VLOOKUP(C176,[1]智慧家庭產品價格表.含稅!C:S,17,FALSE),0)</f>
        <v>1</v>
      </c>
      <c r="L176">
        <v>13</v>
      </c>
      <c r="M176">
        <f t="shared" si="18"/>
        <v>25.99</v>
      </c>
      <c r="N176">
        <v>20</v>
      </c>
      <c r="O176">
        <f t="shared" si="19"/>
        <v>865</v>
      </c>
      <c r="P176">
        <v>158</v>
      </c>
      <c r="Q176">
        <v>315</v>
      </c>
      <c r="R176" s="4">
        <v>4.0789999999999997</v>
      </c>
      <c r="S176" s="2">
        <v>0.94099999999999995</v>
      </c>
      <c r="T176" s="2">
        <v>0.95199999999999996</v>
      </c>
      <c r="U176" s="2">
        <v>0.95199999999999996</v>
      </c>
      <c r="V176" s="2">
        <v>0.95199999999999996</v>
      </c>
      <c r="W176" s="2">
        <v>0.95199999999999996</v>
      </c>
      <c r="X176" s="2">
        <v>0.95199999999999996</v>
      </c>
      <c r="Y176">
        <f t="shared" si="20"/>
        <v>3528</v>
      </c>
      <c r="Z176">
        <f t="shared" si="21"/>
        <v>2822</v>
      </c>
      <c r="AA176">
        <f t="shared" si="22"/>
        <v>2519</v>
      </c>
      <c r="AB176">
        <f t="shared" si="23"/>
        <v>1679</v>
      </c>
      <c r="AC176">
        <f t="shared" si="24"/>
        <v>2183</v>
      </c>
      <c r="AD176">
        <f t="shared" si="25"/>
        <v>1343</v>
      </c>
      <c r="AE176">
        <f t="shared" si="26"/>
        <v>1511</v>
      </c>
      <c r="AF176">
        <v>0.85</v>
      </c>
      <c r="AG176">
        <v>0.75</v>
      </c>
      <c r="AH176">
        <v>0.5</v>
      </c>
      <c r="AI176">
        <v>0.65</v>
      </c>
      <c r="AJ176">
        <v>0.4</v>
      </c>
      <c r="AK176">
        <v>0.45</v>
      </c>
      <c r="AL176" t="s">
        <v>126</v>
      </c>
    </row>
    <row r="177" spans="1:38" x14ac:dyDescent="0.45">
      <c r="A177" t="s">
        <v>508</v>
      </c>
      <c r="B177" t="s">
        <v>37</v>
      </c>
      <c r="C177" t="s">
        <v>665</v>
      </c>
      <c r="D177" t="s">
        <v>666</v>
      </c>
      <c r="E177" t="s">
        <v>38</v>
      </c>
      <c r="F177" t="s">
        <v>667</v>
      </c>
      <c r="G177" t="s">
        <v>668</v>
      </c>
      <c r="H177" t="s">
        <v>41</v>
      </c>
      <c r="I177">
        <v>32.5</v>
      </c>
      <c r="J177">
        <v>22</v>
      </c>
      <c r="K177">
        <f>IFERROR(VLOOKUP(C177,[1]智慧家庭產品價格表.含稅!C:S,17,FALSE),0)</f>
        <v>1</v>
      </c>
      <c r="L177">
        <v>13</v>
      </c>
      <c r="M177">
        <f t="shared" si="18"/>
        <v>25.99</v>
      </c>
      <c r="N177">
        <v>20</v>
      </c>
      <c r="O177">
        <f t="shared" si="19"/>
        <v>865</v>
      </c>
      <c r="P177">
        <v>158</v>
      </c>
      <c r="Q177">
        <v>315</v>
      </c>
      <c r="R177" s="4">
        <v>4.0789999999999997</v>
      </c>
      <c r="S177" s="2">
        <v>0.94099999999999995</v>
      </c>
      <c r="T177" s="2">
        <v>0.95199999999999996</v>
      </c>
      <c r="U177" s="2">
        <v>0.95199999999999996</v>
      </c>
      <c r="V177" s="2">
        <v>0.95199999999999996</v>
      </c>
      <c r="W177" s="2">
        <v>0.95199999999999996</v>
      </c>
      <c r="X177" s="2">
        <v>0.95199999999999996</v>
      </c>
      <c r="Y177">
        <f t="shared" si="20"/>
        <v>3528</v>
      </c>
      <c r="Z177">
        <f t="shared" si="21"/>
        <v>2822</v>
      </c>
      <c r="AA177">
        <f t="shared" si="22"/>
        <v>2519</v>
      </c>
      <c r="AB177">
        <f t="shared" si="23"/>
        <v>1679</v>
      </c>
      <c r="AC177">
        <f t="shared" si="24"/>
        <v>2183</v>
      </c>
      <c r="AD177">
        <f t="shared" si="25"/>
        <v>1343</v>
      </c>
      <c r="AE177">
        <f t="shared" si="26"/>
        <v>1511</v>
      </c>
      <c r="AF177">
        <v>0.85</v>
      </c>
      <c r="AG177">
        <v>0.75</v>
      </c>
      <c r="AH177">
        <v>0.5</v>
      </c>
      <c r="AI177">
        <v>0.65</v>
      </c>
      <c r="AJ177">
        <v>0.4</v>
      </c>
      <c r="AK177">
        <v>0.45</v>
      </c>
      <c r="AL177" t="s">
        <v>126</v>
      </c>
    </row>
    <row r="178" spans="1:38" x14ac:dyDescent="0.45">
      <c r="A178" t="s">
        <v>508</v>
      </c>
      <c r="B178" t="s">
        <v>37</v>
      </c>
      <c r="C178" t="s">
        <v>669</v>
      </c>
      <c r="D178" t="s">
        <v>670</v>
      </c>
      <c r="E178" t="s">
        <v>38</v>
      </c>
      <c r="F178" t="s">
        <v>671</v>
      </c>
      <c r="G178" t="s">
        <v>672</v>
      </c>
      <c r="H178" t="s">
        <v>41</v>
      </c>
      <c r="I178">
        <v>32.5</v>
      </c>
      <c r="J178">
        <v>47</v>
      </c>
      <c r="K178">
        <f>IFERROR(VLOOKUP(C178,[1]智慧家庭產品價格表.含稅!C:S,17,FALSE),0)</f>
        <v>1</v>
      </c>
      <c r="L178">
        <v>13</v>
      </c>
      <c r="M178">
        <f t="shared" si="18"/>
        <v>54.24</v>
      </c>
      <c r="N178">
        <v>20</v>
      </c>
      <c r="O178">
        <f t="shared" si="19"/>
        <v>1783</v>
      </c>
      <c r="P178">
        <v>158</v>
      </c>
      <c r="Q178">
        <v>315</v>
      </c>
      <c r="R178" s="4">
        <v>2.7040000000000002</v>
      </c>
      <c r="S178" s="2">
        <v>0.94099999999999995</v>
      </c>
      <c r="T178" s="2">
        <v>0.95199999999999996</v>
      </c>
      <c r="U178" s="2">
        <v>0.95199999999999996</v>
      </c>
      <c r="V178" s="2">
        <v>0.95199999999999996</v>
      </c>
      <c r="W178" s="2">
        <v>0.95299999999999996</v>
      </c>
      <c r="X178" s="2">
        <v>0.95199999999999996</v>
      </c>
      <c r="Y178">
        <f t="shared" si="20"/>
        <v>4821</v>
      </c>
      <c r="Z178">
        <f t="shared" si="21"/>
        <v>3856</v>
      </c>
      <c r="AA178">
        <f t="shared" si="22"/>
        <v>3442</v>
      </c>
      <c r="AB178">
        <f t="shared" si="23"/>
        <v>2295</v>
      </c>
      <c r="AC178">
        <f t="shared" si="24"/>
        <v>2983</v>
      </c>
      <c r="AD178">
        <f t="shared" si="25"/>
        <v>1838</v>
      </c>
      <c r="AE178">
        <f t="shared" si="26"/>
        <v>2065</v>
      </c>
      <c r="AF178">
        <v>0.85</v>
      </c>
      <c r="AG178">
        <v>0.75</v>
      </c>
      <c r="AH178">
        <v>0.5</v>
      </c>
      <c r="AI178">
        <v>0.65</v>
      </c>
      <c r="AJ178">
        <v>0.4</v>
      </c>
      <c r="AK178">
        <v>0.45</v>
      </c>
      <c r="AL178" t="s">
        <v>164</v>
      </c>
    </row>
    <row r="179" spans="1:38" x14ac:dyDescent="0.45">
      <c r="A179" t="s">
        <v>508</v>
      </c>
      <c r="B179" t="s">
        <v>37</v>
      </c>
      <c r="C179" t="s">
        <v>673</v>
      </c>
      <c r="D179" t="s">
        <v>674</v>
      </c>
      <c r="E179" t="s">
        <v>38</v>
      </c>
      <c r="F179" t="s">
        <v>675</v>
      </c>
      <c r="G179" t="s">
        <v>676</v>
      </c>
      <c r="H179" t="s">
        <v>41</v>
      </c>
      <c r="I179">
        <v>32.5</v>
      </c>
      <c r="J179">
        <v>47</v>
      </c>
      <c r="K179">
        <f>IFERROR(VLOOKUP(C179,[1]智慧家庭產品價格表.含稅!C:S,17,FALSE),0)</f>
        <v>1</v>
      </c>
      <c r="L179">
        <v>13</v>
      </c>
      <c r="M179">
        <f t="shared" si="18"/>
        <v>54.24</v>
      </c>
      <c r="N179">
        <v>20</v>
      </c>
      <c r="O179">
        <f t="shared" si="19"/>
        <v>1783</v>
      </c>
      <c r="P179">
        <v>158</v>
      </c>
      <c r="Q179">
        <v>315</v>
      </c>
      <c r="R179" s="4">
        <v>2.7109999999999999</v>
      </c>
      <c r="S179" s="2">
        <v>0.94099999999999995</v>
      </c>
      <c r="T179" s="2">
        <v>0.95199999999999996</v>
      </c>
      <c r="U179" s="2">
        <v>0.95199999999999996</v>
      </c>
      <c r="V179" s="2">
        <v>0.95199999999999996</v>
      </c>
      <c r="W179" s="2">
        <v>0.95199999999999996</v>
      </c>
      <c r="X179" s="2">
        <v>0.95199999999999996</v>
      </c>
      <c r="Y179">
        <f t="shared" si="20"/>
        <v>4834</v>
      </c>
      <c r="Z179">
        <f t="shared" si="21"/>
        <v>3866</v>
      </c>
      <c r="AA179">
        <f t="shared" si="22"/>
        <v>3451</v>
      </c>
      <c r="AB179">
        <f t="shared" si="23"/>
        <v>2301</v>
      </c>
      <c r="AC179">
        <f t="shared" si="24"/>
        <v>2991</v>
      </c>
      <c r="AD179">
        <f t="shared" si="25"/>
        <v>1841</v>
      </c>
      <c r="AE179">
        <f t="shared" si="26"/>
        <v>2071</v>
      </c>
      <c r="AF179">
        <v>0.85</v>
      </c>
      <c r="AG179">
        <v>0.75</v>
      </c>
      <c r="AH179">
        <v>0.5</v>
      </c>
      <c r="AI179">
        <v>0.65</v>
      </c>
      <c r="AJ179">
        <v>0.4</v>
      </c>
      <c r="AK179">
        <v>0.45</v>
      </c>
      <c r="AL179" t="s">
        <v>164</v>
      </c>
    </row>
    <row r="180" spans="1:38" x14ac:dyDescent="0.45">
      <c r="A180" t="s">
        <v>508</v>
      </c>
      <c r="B180" t="s">
        <v>37</v>
      </c>
      <c r="C180" t="s">
        <v>677</v>
      </c>
      <c r="D180" t="s">
        <v>678</v>
      </c>
      <c r="E180" t="s">
        <v>38</v>
      </c>
      <c r="F180" t="s">
        <v>679</v>
      </c>
      <c r="G180" t="s">
        <v>680</v>
      </c>
      <c r="H180" t="s">
        <v>41</v>
      </c>
      <c r="I180">
        <v>32.5</v>
      </c>
      <c r="J180">
        <v>47</v>
      </c>
      <c r="K180">
        <f>IFERROR(VLOOKUP(C180,[1]智慧家庭產品價格表.含稅!C:S,17,FALSE),0)</f>
        <v>1</v>
      </c>
      <c r="L180">
        <v>13</v>
      </c>
      <c r="M180">
        <f t="shared" si="18"/>
        <v>54.24</v>
      </c>
      <c r="N180">
        <v>20</v>
      </c>
      <c r="O180">
        <f t="shared" si="19"/>
        <v>1783</v>
      </c>
      <c r="P180">
        <v>158</v>
      </c>
      <c r="Q180">
        <v>315</v>
      </c>
      <c r="R180" s="4">
        <v>2.7109999999999999</v>
      </c>
      <c r="S180" s="2">
        <v>0.94099999999999995</v>
      </c>
      <c r="T180" s="2">
        <v>0.95199999999999996</v>
      </c>
      <c r="U180" s="2">
        <v>0.95199999999999996</v>
      </c>
      <c r="V180" s="2">
        <v>0.95199999999999996</v>
      </c>
      <c r="W180" s="2">
        <v>0.95199999999999996</v>
      </c>
      <c r="X180" s="2">
        <v>0.95199999999999996</v>
      </c>
      <c r="Y180">
        <f t="shared" si="20"/>
        <v>4834</v>
      </c>
      <c r="Z180">
        <f t="shared" si="21"/>
        <v>3866</v>
      </c>
      <c r="AA180">
        <f t="shared" si="22"/>
        <v>3451</v>
      </c>
      <c r="AB180">
        <f t="shared" si="23"/>
        <v>2301</v>
      </c>
      <c r="AC180">
        <f t="shared" si="24"/>
        <v>2991</v>
      </c>
      <c r="AD180">
        <f t="shared" si="25"/>
        <v>1841</v>
      </c>
      <c r="AE180">
        <f t="shared" si="26"/>
        <v>2071</v>
      </c>
      <c r="AF180">
        <v>0.85</v>
      </c>
      <c r="AG180">
        <v>0.75</v>
      </c>
      <c r="AH180">
        <v>0.5</v>
      </c>
      <c r="AI180">
        <v>0.65</v>
      </c>
      <c r="AJ180">
        <v>0.4</v>
      </c>
      <c r="AK180">
        <v>0.45</v>
      </c>
      <c r="AL180" t="s">
        <v>164</v>
      </c>
    </row>
    <row r="181" spans="1:38" x14ac:dyDescent="0.45">
      <c r="A181" t="s">
        <v>508</v>
      </c>
      <c r="B181" t="s">
        <v>37</v>
      </c>
      <c r="C181" t="s">
        <v>681</v>
      </c>
      <c r="D181" t="s">
        <v>682</v>
      </c>
      <c r="E181" t="s">
        <v>38</v>
      </c>
      <c r="F181" t="s">
        <v>683</v>
      </c>
      <c r="G181" t="s">
        <v>684</v>
      </c>
      <c r="H181" t="s">
        <v>41</v>
      </c>
      <c r="I181">
        <v>32.5</v>
      </c>
      <c r="J181">
        <v>14</v>
      </c>
      <c r="K181">
        <f>IFERROR(VLOOKUP(C181,[1]智慧家庭產品價格表.含稅!C:S,17,FALSE),0)</f>
        <v>2</v>
      </c>
      <c r="L181">
        <v>13</v>
      </c>
      <c r="M181">
        <f t="shared" si="18"/>
        <v>18.079999999999998</v>
      </c>
      <c r="N181">
        <v>20</v>
      </c>
      <c r="O181">
        <f t="shared" si="19"/>
        <v>608</v>
      </c>
      <c r="P181">
        <v>158</v>
      </c>
      <c r="Q181">
        <v>316</v>
      </c>
      <c r="R181" s="4">
        <v>3.754</v>
      </c>
      <c r="S181" s="2">
        <v>1</v>
      </c>
      <c r="T181" s="2">
        <v>1.016</v>
      </c>
      <c r="U181" s="2">
        <v>1.0469999999999999</v>
      </c>
      <c r="V181" s="2">
        <v>1.0249999999999999</v>
      </c>
      <c r="W181" s="2">
        <v>1.071</v>
      </c>
      <c r="X181" s="2">
        <v>1.0589999999999999</v>
      </c>
      <c r="Y181">
        <f t="shared" si="20"/>
        <v>2282</v>
      </c>
      <c r="Z181">
        <f t="shared" si="21"/>
        <v>1940</v>
      </c>
      <c r="AA181">
        <f t="shared" si="22"/>
        <v>1739</v>
      </c>
      <c r="AB181">
        <f t="shared" si="23"/>
        <v>1195</v>
      </c>
      <c r="AC181">
        <f t="shared" si="24"/>
        <v>1520</v>
      </c>
      <c r="AD181">
        <f t="shared" si="25"/>
        <v>978</v>
      </c>
      <c r="AE181">
        <f t="shared" si="26"/>
        <v>1087</v>
      </c>
      <c r="AF181">
        <v>0.85</v>
      </c>
      <c r="AG181">
        <v>0.75</v>
      </c>
      <c r="AH181">
        <v>0.5</v>
      </c>
      <c r="AI181">
        <v>0.65</v>
      </c>
      <c r="AJ181">
        <v>0.4</v>
      </c>
      <c r="AK181">
        <v>0.45</v>
      </c>
      <c r="AL181" t="s">
        <v>164</v>
      </c>
    </row>
    <row r="182" spans="1:38" x14ac:dyDescent="0.45">
      <c r="A182" t="s">
        <v>508</v>
      </c>
      <c r="B182" t="s">
        <v>37</v>
      </c>
      <c r="C182" t="s">
        <v>685</v>
      </c>
      <c r="D182" t="s">
        <v>686</v>
      </c>
      <c r="E182" t="s">
        <v>38</v>
      </c>
      <c r="F182" t="s">
        <v>687</v>
      </c>
      <c r="G182" t="s">
        <v>688</v>
      </c>
      <c r="H182" t="s">
        <v>41</v>
      </c>
      <c r="I182">
        <v>32.5</v>
      </c>
      <c r="J182">
        <v>21.33</v>
      </c>
      <c r="K182">
        <f>IFERROR(VLOOKUP(C182,[1]智慧家庭產品價格表.含稅!C:S,17,FALSE),0)</f>
        <v>1</v>
      </c>
      <c r="L182">
        <v>13</v>
      </c>
      <c r="M182">
        <f t="shared" si="18"/>
        <v>25.23</v>
      </c>
      <c r="N182">
        <v>20</v>
      </c>
      <c r="O182">
        <f t="shared" si="19"/>
        <v>840</v>
      </c>
      <c r="P182">
        <v>158</v>
      </c>
      <c r="Q182">
        <v>315</v>
      </c>
      <c r="R182" s="4">
        <v>3.9409999999999998</v>
      </c>
      <c r="S182" s="2">
        <v>0.94099999999999995</v>
      </c>
      <c r="T182" s="2">
        <v>0.95199999999999996</v>
      </c>
      <c r="U182" s="2">
        <v>0.95199999999999996</v>
      </c>
      <c r="V182" s="2">
        <v>0.95199999999999996</v>
      </c>
      <c r="W182" s="2">
        <v>0.95199999999999996</v>
      </c>
      <c r="X182" s="2">
        <v>0.95299999999999996</v>
      </c>
      <c r="Y182">
        <f t="shared" si="20"/>
        <v>3310</v>
      </c>
      <c r="Z182">
        <f t="shared" si="21"/>
        <v>2648</v>
      </c>
      <c r="AA182">
        <f t="shared" si="22"/>
        <v>2363</v>
      </c>
      <c r="AB182">
        <f t="shared" si="23"/>
        <v>1576</v>
      </c>
      <c r="AC182">
        <f t="shared" si="24"/>
        <v>2048</v>
      </c>
      <c r="AD182">
        <f t="shared" si="25"/>
        <v>1260</v>
      </c>
      <c r="AE182">
        <f t="shared" si="26"/>
        <v>1419</v>
      </c>
      <c r="AF182">
        <v>0.85</v>
      </c>
      <c r="AG182">
        <v>0.75</v>
      </c>
      <c r="AH182">
        <v>0.5</v>
      </c>
      <c r="AI182">
        <v>0.65</v>
      </c>
      <c r="AJ182">
        <v>0.4</v>
      </c>
      <c r="AK182">
        <v>0.45</v>
      </c>
      <c r="AL182" t="s">
        <v>164</v>
      </c>
    </row>
    <row r="183" spans="1:38" x14ac:dyDescent="0.45">
      <c r="A183" t="s">
        <v>508</v>
      </c>
      <c r="B183" t="s">
        <v>37</v>
      </c>
      <c r="C183" t="s">
        <v>689</v>
      </c>
      <c r="D183" t="s">
        <v>690</v>
      </c>
      <c r="E183" t="s">
        <v>38</v>
      </c>
      <c r="F183" t="s">
        <v>691</v>
      </c>
      <c r="G183" t="s">
        <v>692</v>
      </c>
      <c r="H183" t="s">
        <v>70</v>
      </c>
      <c r="I183">
        <v>32.5</v>
      </c>
      <c r="J183">
        <v>0</v>
      </c>
      <c r="K183">
        <f>IFERROR(VLOOKUP(C183,[1]智慧家庭產品價格表.含稅!C:S,17,FALSE),0)</f>
        <v>0</v>
      </c>
      <c r="L183">
        <v>13</v>
      </c>
      <c r="M183">
        <f t="shared" si="18"/>
        <v>0</v>
      </c>
      <c r="N183">
        <v>0</v>
      </c>
      <c r="O183">
        <f t="shared" si="19"/>
        <v>0</v>
      </c>
      <c r="P183">
        <v>158</v>
      </c>
      <c r="Q183">
        <v>315</v>
      </c>
      <c r="R183" s="4">
        <v>1</v>
      </c>
      <c r="S183" s="2">
        <v>1.2350000000000001</v>
      </c>
      <c r="T183" s="2" t="e">
        <v>#DIV/0!</v>
      </c>
      <c r="U183" s="2" t="e">
        <v>#DIV/0!</v>
      </c>
      <c r="V183" s="2" t="e">
        <v>#DIV/0!</v>
      </c>
      <c r="W183" s="2" t="e">
        <v>#DIV/0!</v>
      </c>
      <c r="X183" s="2">
        <v>1.4810000000000001</v>
      </c>
      <c r="Y183">
        <f t="shared" si="20"/>
        <v>0</v>
      </c>
      <c r="Z183">
        <f t="shared" si="21"/>
        <v>0</v>
      </c>
      <c r="AA183" t="e">
        <f t="shared" si="22"/>
        <v>#DIV/0!</v>
      </c>
      <c r="AB183" t="e">
        <f t="shared" si="23"/>
        <v>#DIV/0!</v>
      </c>
      <c r="AC183" t="e">
        <f t="shared" si="24"/>
        <v>#DIV/0!</v>
      </c>
      <c r="AD183" t="e">
        <f t="shared" si="25"/>
        <v>#DIV/0!</v>
      </c>
      <c r="AE183">
        <f t="shared" si="26"/>
        <v>0</v>
      </c>
      <c r="AF183">
        <v>0.85</v>
      </c>
      <c r="AG183">
        <v>0.75</v>
      </c>
      <c r="AH183">
        <v>0.5</v>
      </c>
      <c r="AI183">
        <v>0.65</v>
      </c>
      <c r="AJ183">
        <v>0.4</v>
      </c>
      <c r="AK183">
        <v>0.45</v>
      </c>
      <c r="AL183" t="s">
        <v>513</v>
      </c>
    </row>
    <row r="184" spans="1:38" x14ac:dyDescent="0.45">
      <c r="A184" t="s">
        <v>508</v>
      </c>
      <c r="B184" t="s">
        <v>37</v>
      </c>
      <c r="C184" t="s">
        <v>693</v>
      </c>
      <c r="D184" t="s">
        <v>694</v>
      </c>
      <c r="E184" t="s">
        <v>38</v>
      </c>
      <c r="F184" t="s">
        <v>695</v>
      </c>
      <c r="G184" t="s">
        <v>696</v>
      </c>
      <c r="H184" t="s">
        <v>70</v>
      </c>
      <c r="I184">
        <v>32.5</v>
      </c>
      <c r="J184">
        <v>0</v>
      </c>
      <c r="K184">
        <f>IFERROR(VLOOKUP(C184,[1]智慧家庭產品價格表.含稅!C:S,17,FALSE),0)</f>
        <v>0</v>
      </c>
      <c r="L184">
        <v>13</v>
      </c>
      <c r="M184">
        <f t="shared" si="18"/>
        <v>0</v>
      </c>
      <c r="N184">
        <v>0</v>
      </c>
      <c r="O184">
        <f t="shared" si="19"/>
        <v>0</v>
      </c>
      <c r="P184">
        <v>158</v>
      </c>
      <c r="Q184">
        <v>315</v>
      </c>
      <c r="R184" s="4">
        <v>1</v>
      </c>
      <c r="S184" s="2">
        <v>1.2350000000000001</v>
      </c>
      <c r="T184" s="2" t="e">
        <v>#DIV/0!</v>
      </c>
      <c r="U184" s="2" t="e">
        <v>#DIV/0!</v>
      </c>
      <c r="V184" s="2" t="e">
        <v>#DIV/0!</v>
      </c>
      <c r="W184" s="2" t="e">
        <v>#DIV/0!</v>
      </c>
      <c r="X184" s="2">
        <v>1.48</v>
      </c>
      <c r="Y184">
        <f t="shared" si="20"/>
        <v>0</v>
      </c>
      <c r="Z184">
        <f t="shared" si="21"/>
        <v>0</v>
      </c>
      <c r="AA184" t="e">
        <f t="shared" si="22"/>
        <v>#DIV/0!</v>
      </c>
      <c r="AB184" t="e">
        <f t="shared" si="23"/>
        <v>#DIV/0!</v>
      </c>
      <c r="AC184" t="e">
        <f t="shared" si="24"/>
        <v>#DIV/0!</v>
      </c>
      <c r="AD184" t="e">
        <f t="shared" si="25"/>
        <v>#DIV/0!</v>
      </c>
      <c r="AE184">
        <f t="shared" si="26"/>
        <v>0</v>
      </c>
      <c r="AF184">
        <v>0.85</v>
      </c>
      <c r="AG184">
        <v>0.75</v>
      </c>
      <c r="AH184">
        <v>0.5</v>
      </c>
      <c r="AI184">
        <v>0.65</v>
      </c>
      <c r="AJ184">
        <v>0.4</v>
      </c>
      <c r="AK184">
        <v>0.45</v>
      </c>
      <c r="AL184" t="s">
        <v>518</v>
      </c>
    </row>
    <row r="185" spans="1:38" x14ac:dyDescent="0.45">
      <c r="A185" t="s">
        <v>508</v>
      </c>
      <c r="B185" t="s">
        <v>37</v>
      </c>
      <c r="C185" t="s">
        <v>697</v>
      </c>
      <c r="D185" t="s">
        <v>698</v>
      </c>
      <c r="E185" t="s">
        <v>38</v>
      </c>
      <c r="F185" t="s">
        <v>699</v>
      </c>
      <c r="G185" t="s">
        <v>700</v>
      </c>
      <c r="H185" t="s">
        <v>70</v>
      </c>
      <c r="I185">
        <v>32.5</v>
      </c>
      <c r="J185">
        <v>0</v>
      </c>
      <c r="K185">
        <f>IFERROR(VLOOKUP(C185,[1]智慧家庭產品價格表.含稅!C:S,17,FALSE),0)</f>
        <v>0</v>
      </c>
      <c r="L185">
        <v>13</v>
      </c>
      <c r="M185">
        <f t="shared" si="18"/>
        <v>0</v>
      </c>
      <c r="N185">
        <v>0</v>
      </c>
      <c r="O185">
        <f t="shared" si="19"/>
        <v>0</v>
      </c>
      <c r="P185">
        <v>158</v>
      </c>
      <c r="Q185">
        <v>315</v>
      </c>
      <c r="R185" s="4">
        <v>1</v>
      </c>
      <c r="S185" s="2">
        <v>1.2350000000000001</v>
      </c>
      <c r="T185" s="2" t="e">
        <v>#DIV/0!</v>
      </c>
      <c r="U185" s="2" t="e">
        <v>#DIV/0!</v>
      </c>
      <c r="V185" s="2" t="e">
        <v>#DIV/0!</v>
      </c>
      <c r="W185" s="2" t="e">
        <v>#DIV/0!</v>
      </c>
      <c r="X185" s="2">
        <v>1.48</v>
      </c>
      <c r="Y185">
        <f t="shared" si="20"/>
        <v>0</v>
      </c>
      <c r="Z185">
        <f t="shared" si="21"/>
        <v>0</v>
      </c>
      <c r="AA185" t="e">
        <f t="shared" si="22"/>
        <v>#DIV/0!</v>
      </c>
      <c r="AB185" t="e">
        <f t="shared" si="23"/>
        <v>#DIV/0!</v>
      </c>
      <c r="AC185" t="e">
        <f t="shared" si="24"/>
        <v>#DIV/0!</v>
      </c>
      <c r="AD185" t="e">
        <f t="shared" si="25"/>
        <v>#DIV/0!</v>
      </c>
      <c r="AE185">
        <f t="shared" si="26"/>
        <v>0</v>
      </c>
      <c r="AF185">
        <v>0.85</v>
      </c>
      <c r="AG185">
        <v>0.75</v>
      </c>
      <c r="AH185">
        <v>0.5</v>
      </c>
      <c r="AI185">
        <v>0.65</v>
      </c>
      <c r="AJ185">
        <v>0.4</v>
      </c>
      <c r="AK185">
        <v>0.45</v>
      </c>
      <c r="AL185" t="s">
        <v>126</v>
      </c>
    </row>
    <row r="186" spans="1:38" x14ac:dyDescent="0.45">
      <c r="A186" t="s">
        <v>508</v>
      </c>
      <c r="B186" t="s">
        <v>37</v>
      </c>
      <c r="C186" t="s">
        <v>701</v>
      </c>
      <c r="D186" t="s">
        <v>702</v>
      </c>
      <c r="E186" t="s">
        <v>38</v>
      </c>
      <c r="F186" t="s">
        <v>703</v>
      </c>
      <c r="G186" t="s">
        <v>704</v>
      </c>
      <c r="H186" t="s">
        <v>41</v>
      </c>
      <c r="I186">
        <v>32.5</v>
      </c>
      <c r="J186">
        <v>11.5</v>
      </c>
      <c r="K186">
        <f>IFERROR(VLOOKUP(C186,[1]智慧家庭產品價格表.含稅!C:S,17,FALSE),0)</f>
        <v>1</v>
      </c>
      <c r="L186">
        <v>13</v>
      </c>
      <c r="M186">
        <f t="shared" si="18"/>
        <v>14.13</v>
      </c>
      <c r="N186">
        <v>0</v>
      </c>
      <c r="O186">
        <f t="shared" si="19"/>
        <v>459</v>
      </c>
      <c r="P186">
        <v>158</v>
      </c>
      <c r="Q186">
        <v>840</v>
      </c>
      <c r="R186" s="4">
        <v>3.8090000000000002</v>
      </c>
      <c r="S186" s="2">
        <v>0.94099999999999995</v>
      </c>
      <c r="T186" s="2">
        <v>0.95199999999999996</v>
      </c>
      <c r="U186" s="2">
        <v>0.95199999999999996</v>
      </c>
      <c r="V186" s="2">
        <v>0.95199999999999996</v>
      </c>
      <c r="W186" s="2">
        <v>0.95199999999999996</v>
      </c>
      <c r="X186" s="2">
        <v>0.95199999999999996</v>
      </c>
      <c r="Y186">
        <f t="shared" si="20"/>
        <v>1748</v>
      </c>
      <c r="Z186">
        <f t="shared" si="21"/>
        <v>1398</v>
      </c>
      <c r="AA186">
        <f t="shared" si="22"/>
        <v>1248</v>
      </c>
      <c r="AB186">
        <f t="shared" si="23"/>
        <v>832</v>
      </c>
      <c r="AC186">
        <f t="shared" si="24"/>
        <v>1082</v>
      </c>
      <c r="AD186">
        <f t="shared" si="25"/>
        <v>666</v>
      </c>
      <c r="AE186">
        <f t="shared" si="26"/>
        <v>749</v>
      </c>
      <c r="AF186">
        <v>0.85</v>
      </c>
      <c r="AG186">
        <v>0.75</v>
      </c>
      <c r="AH186">
        <v>0.5</v>
      </c>
      <c r="AI186">
        <v>0.65</v>
      </c>
      <c r="AJ186">
        <v>0.4</v>
      </c>
      <c r="AK186">
        <v>0.45</v>
      </c>
    </row>
    <row r="187" spans="1:38" x14ac:dyDescent="0.45">
      <c r="A187" t="s">
        <v>508</v>
      </c>
      <c r="B187" t="s">
        <v>37</v>
      </c>
      <c r="C187" t="s">
        <v>705</v>
      </c>
      <c r="D187" t="s">
        <v>706</v>
      </c>
      <c r="E187" t="s">
        <v>38</v>
      </c>
      <c r="F187" t="s">
        <v>707</v>
      </c>
      <c r="G187" t="s">
        <v>708</v>
      </c>
      <c r="H187" t="s">
        <v>41</v>
      </c>
      <c r="I187">
        <v>32.5</v>
      </c>
      <c r="J187">
        <v>15</v>
      </c>
      <c r="K187">
        <f>IFERROR(VLOOKUP(C187,[1]智慧家庭產品價格表.含稅!C:S,17,FALSE),0)</f>
        <v>1</v>
      </c>
      <c r="L187">
        <v>13</v>
      </c>
      <c r="M187">
        <f t="shared" si="18"/>
        <v>18.079999999999998</v>
      </c>
      <c r="N187">
        <v>0</v>
      </c>
      <c r="O187">
        <f t="shared" si="19"/>
        <v>588</v>
      </c>
      <c r="P187">
        <v>158</v>
      </c>
      <c r="Q187">
        <v>840</v>
      </c>
      <c r="R187" s="4">
        <v>3.6280000000000001</v>
      </c>
      <c r="S187" s="2">
        <v>0.94099999999999995</v>
      </c>
      <c r="T187" s="2">
        <v>0.95299999999999996</v>
      </c>
      <c r="U187" s="2">
        <v>0.95299999999999996</v>
      </c>
      <c r="V187" s="2">
        <v>0.95299999999999996</v>
      </c>
      <c r="W187" s="2">
        <v>0.95299999999999996</v>
      </c>
      <c r="X187" s="2">
        <v>0.95199999999999996</v>
      </c>
      <c r="Y187">
        <f t="shared" si="20"/>
        <v>2133</v>
      </c>
      <c r="Z187">
        <f t="shared" si="21"/>
        <v>1706</v>
      </c>
      <c r="AA187">
        <f t="shared" si="22"/>
        <v>1525</v>
      </c>
      <c r="AB187">
        <f t="shared" si="23"/>
        <v>1016</v>
      </c>
      <c r="AC187">
        <f t="shared" si="24"/>
        <v>1321</v>
      </c>
      <c r="AD187">
        <f t="shared" si="25"/>
        <v>813</v>
      </c>
      <c r="AE187">
        <f t="shared" si="26"/>
        <v>914</v>
      </c>
      <c r="AF187">
        <v>0.85</v>
      </c>
      <c r="AG187">
        <v>0.75</v>
      </c>
      <c r="AH187">
        <v>0.5</v>
      </c>
      <c r="AI187">
        <v>0.65</v>
      </c>
      <c r="AJ187">
        <v>0.4</v>
      </c>
      <c r="AK187">
        <v>0.45</v>
      </c>
    </row>
    <row r="188" spans="1:38" x14ac:dyDescent="0.45">
      <c r="A188" t="s">
        <v>508</v>
      </c>
      <c r="B188" t="s">
        <v>37</v>
      </c>
      <c r="C188" t="s">
        <v>709</v>
      </c>
      <c r="D188" t="s">
        <v>710</v>
      </c>
      <c r="E188" t="s">
        <v>38</v>
      </c>
      <c r="F188" t="s">
        <v>711</v>
      </c>
      <c r="G188" t="s">
        <v>712</v>
      </c>
      <c r="H188" t="s">
        <v>41</v>
      </c>
      <c r="I188">
        <v>32.5</v>
      </c>
      <c r="J188">
        <v>8</v>
      </c>
      <c r="K188">
        <f>IFERROR(VLOOKUP(C188,[1]智慧家庭產品價格表.含稅!C:S,17,FALSE),0)</f>
        <v>1</v>
      </c>
      <c r="L188">
        <v>13</v>
      </c>
      <c r="M188">
        <f t="shared" si="18"/>
        <v>10.17</v>
      </c>
      <c r="N188">
        <v>0</v>
      </c>
      <c r="O188">
        <f t="shared" si="19"/>
        <v>331</v>
      </c>
      <c r="P188">
        <v>158</v>
      </c>
      <c r="Q188">
        <v>840</v>
      </c>
      <c r="R188" s="4">
        <v>4.1150000000000002</v>
      </c>
      <c r="S188" s="2">
        <v>0.88200000000000001</v>
      </c>
      <c r="T188" s="2">
        <v>0.88900000000000001</v>
      </c>
      <c r="U188" s="2">
        <v>0.85799999999999998</v>
      </c>
      <c r="V188" s="2">
        <v>0.879</v>
      </c>
      <c r="W188" s="2">
        <v>0.83299999999999996</v>
      </c>
      <c r="X188" s="2">
        <v>0.84699999999999998</v>
      </c>
      <c r="Y188">
        <f t="shared" si="20"/>
        <v>1362</v>
      </c>
      <c r="Z188">
        <f t="shared" si="21"/>
        <v>1021</v>
      </c>
      <c r="AA188">
        <f t="shared" si="22"/>
        <v>908</v>
      </c>
      <c r="AB188">
        <f t="shared" si="23"/>
        <v>584</v>
      </c>
      <c r="AC188">
        <f t="shared" si="24"/>
        <v>778</v>
      </c>
      <c r="AD188">
        <f t="shared" si="25"/>
        <v>454</v>
      </c>
      <c r="AE188">
        <f t="shared" si="26"/>
        <v>519</v>
      </c>
      <c r="AF188">
        <v>0.85</v>
      </c>
      <c r="AG188">
        <v>0.75</v>
      </c>
      <c r="AH188">
        <v>0.5</v>
      </c>
      <c r="AI188">
        <v>0.65</v>
      </c>
      <c r="AJ188">
        <v>0.4</v>
      </c>
      <c r="AK188">
        <v>0.45</v>
      </c>
    </row>
    <row r="189" spans="1:38" x14ac:dyDescent="0.45">
      <c r="A189" t="s">
        <v>508</v>
      </c>
      <c r="B189" t="s">
        <v>37</v>
      </c>
      <c r="C189" t="s">
        <v>713</v>
      </c>
      <c r="D189" t="s">
        <v>714</v>
      </c>
      <c r="E189" t="s">
        <v>38</v>
      </c>
      <c r="F189" t="s">
        <v>715</v>
      </c>
      <c r="G189" t="s">
        <v>716</v>
      </c>
      <c r="H189" t="s">
        <v>41</v>
      </c>
      <c r="I189">
        <v>32.5</v>
      </c>
      <c r="J189">
        <v>8</v>
      </c>
      <c r="K189">
        <f>IFERROR(VLOOKUP(C189,[1]智慧家庭產品價格表.含稅!C:S,17,FALSE),0)</f>
        <v>1</v>
      </c>
      <c r="L189">
        <v>13</v>
      </c>
      <c r="M189">
        <f t="shared" si="18"/>
        <v>10.17</v>
      </c>
      <c r="N189">
        <v>0</v>
      </c>
      <c r="O189">
        <f t="shared" si="19"/>
        <v>331</v>
      </c>
      <c r="P189">
        <v>158</v>
      </c>
      <c r="Q189">
        <v>840</v>
      </c>
      <c r="R189" s="4">
        <v>4.1150000000000002</v>
      </c>
      <c r="S189" s="2">
        <v>0.94099999999999995</v>
      </c>
      <c r="T189" s="2">
        <v>0.95199999999999996</v>
      </c>
      <c r="U189" s="2">
        <v>0.95299999999999996</v>
      </c>
      <c r="V189" s="2">
        <v>0.95199999999999996</v>
      </c>
      <c r="W189" s="2">
        <v>0.95299999999999996</v>
      </c>
      <c r="X189" s="2">
        <v>0.95299999999999996</v>
      </c>
      <c r="Y189">
        <f t="shared" si="20"/>
        <v>1362</v>
      </c>
      <c r="Z189">
        <f t="shared" si="21"/>
        <v>1089</v>
      </c>
      <c r="AA189">
        <f t="shared" si="22"/>
        <v>972</v>
      </c>
      <c r="AB189">
        <f t="shared" si="23"/>
        <v>649</v>
      </c>
      <c r="AC189">
        <f t="shared" si="24"/>
        <v>843</v>
      </c>
      <c r="AD189">
        <f t="shared" si="25"/>
        <v>519</v>
      </c>
      <c r="AE189">
        <f t="shared" si="26"/>
        <v>584</v>
      </c>
      <c r="AF189">
        <v>0.85</v>
      </c>
      <c r="AG189">
        <v>0.75</v>
      </c>
      <c r="AH189">
        <v>0.5</v>
      </c>
      <c r="AI189">
        <v>0.65</v>
      </c>
      <c r="AJ189">
        <v>0.4</v>
      </c>
      <c r="AK189">
        <v>0.45</v>
      </c>
    </row>
    <row r="190" spans="1:38" x14ac:dyDescent="0.45">
      <c r="A190" t="s">
        <v>508</v>
      </c>
      <c r="B190" t="s">
        <v>37</v>
      </c>
      <c r="C190" t="s">
        <v>717</v>
      </c>
      <c r="D190" t="s">
        <v>718</v>
      </c>
      <c r="E190" t="s">
        <v>38</v>
      </c>
      <c r="F190" t="s">
        <v>719</v>
      </c>
      <c r="G190" t="s">
        <v>720</v>
      </c>
      <c r="H190" t="s">
        <v>41</v>
      </c>
      <c r="I190">
        <v>32.5</v>
      </c>
      <c r="J190">
        <v>11.5</v>
      </c>
      <c r="K190">
        <f>IFERROR(VLOOKUP(C190,[1]智慧家庭產品價格表.含稅!C:S,17,FALSE),0)</f>
        <v>1</v>
      </c>
      <c r="L190">
        <v>13</v>
      </c>
      <c r="M190">
        <f t="shared" si="18"/>
        <v>14.13</v>
      </c>
      <c r="N190">
        <v>0</v>
      </c>
      <c r="O190">
        <f t="shared" si="19"/>
        <v>459</v>
      </c>
      <c r="P190">
        <v>158</v>
      </c>
      <c r="Q190">
        <v>840</v>
      </c>
      <c r="R190" s="4">
        <v>3.8090000000000002</v>
      </c>
      <c r="S190" s="2">
        <v>1</v>
      </c>
      <c r="T190" s="2">
        <v>1.016</v>
      </c>
      <c r="U190" s="2">
        <v>1.0469999999999999</v>
      </c>
      <c r="V190" s="2">
        <v>1.0249999999999999</v>
      </c>
      <c r="W190" s="2">
        <v>1.071</v>
      </c>
      <c r="X190" s="2">
        <v>1.0580000000000001</v>
      </c>
      <c r="Y190">
        <f t="shared" si="20"/>
        <v>1748</v>
      </c>
      <c r="Z190">
        <f t="shared" si="21"/>
        <v>1486</v>
      </c>
      <c r="AA190">
        <f t="shared" si="22"/>
        <v>1332</v>
      </c>
      <c r="AB190">
        <f t="shared" si="23"/>
        <v>915</v>
      </c>
      <c r="AC190">
        <f t="shared" si="24"/>
        <v>1165</v>
      </c>
      <c r="AD190">
        <f t="shared" si="25"/>
        <v>749</v>
      </c>
      <c r="AE190">
        <f t="shared" si="26"/>
        <v>832</v>
      </c>
      <c r="AF190">
        <v>0.85</v>
      </c>
      <c r="AG190">
        <v>0.75</v>
      </c>
      <c r="AH190">
        <v>0.5</v>
      </c>
      <c r="AI190">
        <v>0.65</v>
      </c>
      <c r="AJ190">
        <v>0.4</v>
      </c>
      <c r="AK190">
        <v>0.45</v>
      </c>
    </row>
    <row r="191" spans="1:38" x14ac:dyDescent="0.45">
      <c r="A191" t="s">
        <v>508</v>
      </c>
      <c r="B191" t="s">
        <v>37</v>
      </c>
      <c r="C191" t="s">
        <v>721</v>
      </c>
      <c r="D191" t="s">
        <v>722</v>
      </c>
      <c r="E191" t="s">
        <v>38</v>
      </c>
      <c r="F191" t="s">
        <v>723</v>
      </c>
      <c r="G191" t="s">
        <v>724</v>
      </c>
      <c r="H191" t="s">
        <v>41</v>
      </c>
      <c r="I191">
        <v>32.5</v>
      </c>
      <c r="J191">
        <v>15</v>
      </c>
      <c r="K191">
        <f>IFERROR(VLOOKUP(C191,[1]智慧家庭產品價格表.含稅!C:S,17,FALSE),0)</f>
        <v>1</v>
      </c>
      <c r="L191">
        <v>13</v>
      </c>
      <c r="M191">
        <f t="shared" si="18"/>
        <v>18.079999999999998</v>
      </c>
      <c r="N191">
        <v>0</v>
      </c>
      <c r="O191">
        <f t="shared" si="19"/>
        <v>588</v>
      </c>
      <c r="P191">
        <v>158</v>
      </c>
      <c r="Q191">
        <v>840</v>
      </c>
      <c r="R191" s="4">
        <v>3.6280000000000001</v>
      </c>
      <c r="S191" s="2">
        <v>1</v>
      </c>
      <c r="T191" s="2">
        <v>1.016</v>
      </c>
      <c r="U191" s="2">
        <v>1.048</v>
      </c>
      <c r="V191" s="2">
        <v>1.026</v>
      </c>
      <c r="W191" s="2">
        <v>1.071</v>
      </c>
      <c r="X191" s="2">
        <v>1.0580000000000001</v>
      </c>
      <c r="Y191">
        <f t="shared" si="20"/>
        <v>2133</v>
      </c>
      <c r="Z191">
        <f t="shared" si="21"/>
        <v>1813</v>
      </c>
      <c r="AA191">
        <f t="shared" si="22"/>
        <v>1625</v>
      </c>
      <c r="AB191">
        <f t="shared" si="23"/>
        <v>1118</v>
      </c>
      <c r="AC191">
        <f t="shared" si="24"/>
        <v>1422</v>
      </c>
      <c r="AD191">
        <f t="shared" si="25"/>
        <v>914</v>
      </c>
      <c r="AE191">
        <f t="shared" si="26"/>
        <v>1016</v>
      </c>
      <c r="AF191">
        <v>0.85</v>
      </c>
      <c r="AG191">
        <v>0.75</v>
      </c>
      <c r="AH191">
        <v>0.5</v>
      </c>
      <c r="AI191">
        <v>0.65</v>
      </c>
      <c r="AJ191">
        <v>0.4</v>
      </c>
      <c r="AK191">
        <v>0.45</v>
      </c>
    </row>
    <row r="192" spans="1:38" x14ac:dyDescent="0.45">
      <c r="A192" t="s">
        <v>508</v>
      </c>
      <c r="B192" t="s">
        <v>37</v>
      </c>
      <c r="C192" t="s">
        <v>725</v>
      </c>
      <c r="D192" t="s">
        <v>726</v>
      </c>
      <c r="E192" t="s">
        <v>38</v>
      </c>
      <c r="F192" t="s">
        <v>727</v>
      </c>
      <c r="G192" t="s">
        <v>728</v>
      </c>
      <c r="H192" t="s">
        <v>70</v>
      </c>
      <c r="I192">
        <v>32.5</v>
      </c>
      <c r="J192">
        <v>0</v>
      </c>
      <c r="K192">
        <f>IFERROR(VLOOKUP(C192,[1]智慧家庭產品價格表.含稅!C:S,17,FALSE),0)</f>
        <v>0</v>
      </c>
      <c r="L192">
        <v>13</v>
      </c>
      <c r="M192">
        <f t="shared" si="18"/>
        <v>0</v>
      </c>
      <c r="N192">
        <v>0</v>
      </c>
      <c r="O192">
        <f t="shared" si="19"/>
        <v>0</v>
      </c>
      <c r="P192">
        <v>158</v>
      </c>
      <c r="Q192">
        <v>840</v>
      </c>
      <c r="R192" s="4">
        <v>1</v>
      </c>
      <c r="S192" s="2">
        <v>1.4710000000000001</v>
      </c>
      <c r="T192" s="2" t="e">
        <v>#DIV/0!</v>
      </c>
      <c r="U192" s="2" t="e">
        <v>#DIV/0!</v>
      </c>
      <c r="V192" s="2" t="e">
        <v>#DIV/0!</v>
      </c>
      <c r="W192" s="2" t="e">
        <v>#DIV/0!</v>
      </c>
      <c r="X192" s="2">
        <v>1.905</v>
      </c>
      <c r="Y192">
        <f t="shared" si="20"/>
        <v>0</v>
      </c>
      <c r="Z192">
        <f t="shared" si="21"/>
        <v>0</v>
      </c>
      <c r="AA192" t="e">
        <f t="shared" si="22"/>
        <v>#DIV/0!</v>
      </c>
      <c r="AB192" t="e">
        <f t="shared" si="23"/>
        <v>#DIV/0!</v>
      </c>
      <c r="AC192" t="e">
        <f t="shared" si="24"/>
        <v>#DIV/0!</v>
      </c>
      <c r="AD192" t="e">
        <f t="shared" si="25"/>
        <v>#DIV/0!</v>
      </c>
      <c r="AE192">
        <f t="shared" si="26"/>
        <v>0</v>
      </c>
      <c r="AF192">
        <v>0.85</v>
      </c>
      <c r="AG192">
        <v>0.75</v>
      </c>
      <c r="AH192">
        <v>0.5</v>
      </c>
      <c r="AI192">
        <v>0.65</v>
      </c>
      <c r="AJ192">
        <v>0.4</v>
      </c>
      <c r="AK192">
        <v>0.45</v>
      </c>
    </row>
    <row r="193" spans="1:38" x14ac:dyDescent="0.45">
      <c r="A193" t="s">
        <v>508</v>
      </c>
      <c r="B193" t="s">
        <v>37</v>
      </c>
      <c r="C193" t="s">
        <v>729</v>
      </c>
      <c r="D193" t="s">
        <v>730</v>
      </c>
      <c r="E193" t="s">
        <v>38</v>
      </c>
      <c r="F193" t="s">
        <v>731</v>
      </c>
      <c r="G193" t="s">
        <v>732</v>
      </c>
      <c r="H193" t="s">
        <v>70</v>
      </c>
      <c r="I193">
        <v>32.5</v>
      </c>
      <c r="J193">
        <v>0</v>
      </c>
      <c r="K193">
        <f>IFERROR(VLOOKUP(C193,[1]智慧家庭產品價格表.含稅!C:S,17,FALSE),0)</f>
        <v>0</v>
      </c>
      <c r="L193">
        <v>13</v>
      </c>
      <c r="M193">
        <f t="shared" si="18"/>
        <v>0</v>
      </c>
      <c r="N193">
        <v>0</v>
      </c>
      <c r="O193">
        <f t="shared" si="19"/>
        <v>0</v>
      </c>
      <c r="P193">
        <v>158</v>
      </c>
      <c r="Q193">
        <v>840</v>
      </c>
      <c r="R193" s="4">
        <v>1</v>
      </c>
      <c r="S193" s="2">
        <v>1.4710000000000001</v>
      </c>
      <c r="T193" s="2" t="e">
        <v>#DIV/0!</v>
      </c>
      <c r="U193" s="2" t="e">
        <v>#DIV/0!</v>
      </c>
      <c r="V193" s="2" t="e">
        <v>#DIV/0!</v>
      </c>
      <c r="W193" s="2" t="e">
        <v>#DIV/0!</v>
      </c>
      <c r="X193" s="2">
        <v>1.9039999999999999</v>
      </c>
      <c r="Y193">
        <f t="shared" si="20"/>
        <v>0</v>
      </c>
      <c r="Z193">
        <f t="shared" si="21"/>
        <v>0</v>
      </c>
      <c r="AA193" t="e">
        <f t="shared" si="22"/>
        <v>#DIV/0!</v>
      </c>
      <c r="AB193" t="e">
        <f t="shared" si="23"/>
        <v>#DIV/0!</v>
      </c>
      <c r="AC193" t="e">
        <f t="shared" si="24"/>
        <v>#DIV/0!</v>
      </c>
      <c r="AD193" t="e">
        <f t="shared" si="25"/>
        <v>#DIV/0!</v>
      </c>
      <c r="AE193">
        <f t="shared" si="26"/>
        <v>0</v>
      </c>
      <c r="AF193">
        <v>0.85</v>
      </c>
      <c r="AG193">
        <v>0.75</v>
      </c>
      <c r="AH193">
        <v>0.5</v>
      </c>
      <c r="AI193">
        <v>0.65</v>
      </c>
      <c r="AJ193">
        <v>0.4</v>
      </c>
      <c r="AK193">
        <v>0.45</v>
      </c>
    </row>
    <row r="194" spans="1:38" x14ac:dyDescent="0.45">
      <c r="A194" t="s">
        <v>508</v>
      </c>
      <c r="B194" t="s">
        <v>37</v>
      </c>
      <c r="C194" t="s">
        <v>733</v>
      </c>
      <c r="D194" t="s">
        <v>734</v>
      </c>
      <c r="E194" t="s">
        <v>735</v>
      </c>
      <c r="F194" t="s">
        <v>736</v>
      </c>
      <c r="G194" t="s">
        <v>737</v>
      </c>
      <c r="H194" t="s">
        <v>41</v>
      </c>
      <c r="I194">
        <v>32.5</v>
      </c>
      <c r="J194">
        <v>7.5</v>
      </c>
      <c r="K194">
        <f>IFERROR(VLOOKUP(C194,[1]智慧家庭產品價格表.含稅!C:S,17,FALSE),0)</f>
        <v>1</v>
      </c>
      <c r="L194">
        <v>13</v>
      </c>
      <c r="M194">
        <f t="shared" si="18"/>
        <v>9.61</v>
      </c>
      <c r="N194">
        <v>0</v>
      </c>
      <c r="O194">
        <f t="shared" si="19"/>
        <v>312</v>
      </c>
      <c r="P194">
        <v>105</v>
      </c>
      <c r="Q194">
        <v>315</v>
      </c>
      <c r="R194" s="4">
        <v>1.1220000000000001</v>
      </c>
      <c r="S194" s="2">
        <v>1.2370000000000001</v>
      </c>
      <c r="T194" s="2">
        <v>1.268</v>
      </c>
      <c r="U194" s="2">
        <v>1.4279999999999999</v>
      </c>
      <c r="V194" s="2">
        <v>1.3180000000000001</v>
      </c>
      <c r="W194" s="2">
        <v>1.55</v>
      </c>
      <c r="X194" s="2">
        <v>1.4790000000000001</v>
      </c>
      <c r="Y194">
        <f t="shared" si="20"/>
        <v>350</v>
      </c>
      <c r="Z194">
        <f t="shared" si="21"/>
        <v>368</v>
      </c>
      <c r="AA194">
        <f t="shared" si="22"/>
        <v>333</v>
      </c>
      <c r="AB194">
        <f t="shared" si="23"/>
        <v>250</v>
      </c>
      <c r="AC194">
        <f t="shared" si="24"/>
        <v>300</v>
      </c>
      <c r="AD194">
        <f t="shared" si="25"/>
        <v>217</v>
      </c>
      <c r="AE194">
        <f t="shared" si="26"/>
        <v>233</v>
      </c>
      <c r="AF194">
        <v>0.85</v>
      </c>
      <c r="AG194">
        <v>0.75</v>
      </c>
      <c r="AH194">
        <v>0.5</v>
      </c>
      <c r="AI194">
        <v>0.65</v>
      </c>
      <c r="AJ194">
        <v>0.4</v>
      </c>
      <c r="AK194">
        <v>0.45</v>
      </c>
    </row>
    <row r="195" spans="1:38" x14ac:dyDescent="0.45">
      <c r="A195" t="s">
        <v>508</v>
      </c>
      <c r="B195" t="s">
        <v>37</v>
      </c>
      <c r="C195" t="s">
        <v>738</v>
      </c>
      <c r="D195" t="s">
        <v>739</v>
      </c>
      <c r="E195" t="s">
        <v>735</v>
      </c>
      <c r="F195" t="s">
        <v>740</v>
      </c>
      <c r="G195" t="s">
        <v>741</v>
      </c>
      <c r="H195" t="s">
        <v>41</v>
      </c>
      <c r="I195">
        <v>32.5</v>
      </c>
      <c r="J195">
        <v>4.5</v>
      </c>
      <c r="K195">
        <f>IFERROR(VLOOKUP(C195,[1]智慧家庭產品價格表.含稅!C:S,17,FALSE),0)</f>
        <v>1</v>
      </c>
      <c r="L195">
        <v>13</v>
      </c>
      <c r="M195">
        <f t="shared" si="18"/>
        <v>6.22</v>
      </c>
      <c r="N195">
        <v>0</v>
      </c>
      <c r="O195">
        <f t="shared" si="19"/>
        <v>202</v>
      </c>
      <c r="P195">
        <v>105</v>
      </c>
      <c r="Q195">
        <v>315</v>
      </c>
      <c r="R195" s="4">
        <v>1.7330000000000001</v>
      </c>
      <c r="S195" s="2">
        <v>1.2370000000000001</v>
      </c>
      <c r="T195" s="2">
        <v>1.268</v>
      </c>
      <c r="U195" s="2">
        <v>1.4279999999999999</v>
      </c>
      <c r="V195" s="2">
        <v>1.3180000000000001</v>
      </c>
      <c r="W195" s="2">
        <v>1.55</v>
      </c>
      <c r="X195" s="2">
        <v>1.4790000000000001</v>
      </c>
      <c r="Y195">
        <f t="shared" si="20"/>
        <v>350</v>
      </c>
      <c r="Z195">
        <f t="shared" si="21"/>
        <v>368</v>
      </c>
      <c r="AA195">
        <f t="shared" si="22"/>
        <v>333</v>
      </c>
      <c r="AB195">
        <f t="shared" si="23"/>
        <v>250</v>
      </c>
      <c r="AC195">
        <f t="shared" si="24"/>
        <v>300</v>
      </c>
      <c r="AD195">
        <f t="shared" si="25"/>
        <v>217</v>
      </c>
      <c r="AE195">
        <f t="shared" si="26"/>
        <v>233</v>
      </c>
      <c r="AF195">
        <v>0.85</v>
      </c>
      <c r="AG195">
        <v>0.75</v>
      </c>
      <c r="AH195">
        <v>0.5</v>
      </c>
      <c r="AI195">
        <v>0.65</v>
      </c>
      <c r="AJ195">
        <v>0.4</v>
      </c>
      <c r="AK195">
        <v>0.45</v>
      </c>
    </row>
    <row r="196" spans="1:38" x14ac:dyDescent="0.45">
      <c r="A196" t="s">
        <v>508</v>
      </c>
      <c r="B196" t="s">
        <v>37</v>
      </c>
      <c r="C196" t="s">
        <v>742</v>
      </c>
      <c r="D196" t="s">
        <v>743</v>
      </c>
      <c r="E196" t="s">
        <v>38</v>
      </c>
      <c r="F196" t="s">
        <v>744</v>
      </c>
      <c r="G196" t="s">
        <v>745</v>
      </c>
      <c r="H196" t="s">
        <v>41</v>
      </c>
      <c r="I196">
        <v>32.5</v>
      </c>
      <c r="J196">
        <v>12</v>
      </c>
      <c r="K196">
        <f>IFERROR(VLOOKUP(C196,[1]智慧家庭產品價格表.含稅!C:S,17,FALSE),0)</f>
        <v>1</v>
      </c>
      <c r="L196">
        <v>13</v>
      </c>
      <c r="M196">
        <f t="shared" ref="M196:M259" si="27">ROUND(IF(L196&lt;1,(J196+K196)*L196+(J196+K196),(J196+K196)*(L196/100)+(J196+K196)),2)</f>
        <v>14.69</v>
      </c>
      <c r="N196">
        <v>0</v>
      </c>
      <c r="O196">
        <f t="shared" ref="O196:O259" si="28">ROUND(M196*I196+N196,0)</f>
        <v>477</v>
      </c>
      <c r="P196">
        <v>158</v>
      </c>
      <c r="Q196">
        <v>840</v>
      </c>
      <c r="R196" s="4">
        <v>3.78</v>
      </c>
      <c r="S196" s="2">
        <v>0.94099999999999995</v>
      </c>
      <c r="T196" s="2">
        <v>0.95199999999999996</v>
      </c>
      <c r="U196" s="2">
        <v>0.95199999999999996</v>
      </c>
      <c r="V196" s="2">
        <v>0.95199999999999996</v>
      </c>
      <c r="W196" s="2">
        <v>0.95299999999999996</v>
      </c>
      <c r="X196" s="2">
        <v>0.95299999999999996</v>
      </c>
      <c r="Y196">
        <f t="shared" ref="Y196:Y234" si="29">ROUND(O196*R196,0)</f>
        <v>1803</v>
      </c>
      <c r="Z196">
        <f t="shared" ref="Z196:Z233" si="30">ROUND(Y196*S196*AF196,0)</f>
        <v>1442</v>
      </c>
      <c r="AA196">
        <f t="shared" ref="AA196:AA233" si="31">ROUND(Y196*T196*AG196,0)</f>
        <v>1287</v>
      </c>
      <c r="AB196">
        <f t="shared" ref="AB196:AB233" si="32">ROUND(Y196*U196*AH196,0)</f>
        <v>858</v>
      </c>
      <c r="AC196">
        <f t="shared" ref="AC196:AC233" si="33">ROUND(Y196*V196*AI196,0)</f>
        <v>1116</v>
      </c>
      <c r="AD196">
        <f t="shared" ref="AD196:AD233" si="34">ROUND(Y196*W196*AJ196,0)</f>
        <v>687</v>
      </c>
      <c r="AE196">
        <f t="shared" ref="AE196:AE233" si="35">ROUND(Y196*X196*AK196,0)</f>
        <v>773</v>
      </c>
      <c r="AF196">
        <v>0.85</v>
      </c>
      <c r="AG196">
        <v>0.75</v>
      </c>
      <c r="AH196">
        <v>0.5</v>
      </c>
      <c r="AI196">
        <v>0.65</v>
      </c>
      <c r="AJ196">
        <v>0.4</v>
      </c>
      <c r="AK196">
        <v>0.45</v>
      </c>
    </row>
    <row r="197" spans="1:38" x14ac:dyDescent="0.45">
      <c r="A197" t="s">
        <v>508</v>
      </c>
      <c r="B197" t="s">
        <v>37</v>
      </c>
      <c r="C197" t="s">
        <v>746</v>
      </c>
      <c r="D197" t="s">
        <v>747</v>
      </c>
      <c r="E197" t="s">
        <v>735</v>
      </c>
      <c r="F197" t="s">
        <v>748</v>
      </c>
      <c r="G197" t="s">
        <v>749</v>
      </c>
      <c r="H197" t="s">
        <v>41</v>
      </c>
      <c r="I197">
        <v>32.5</v>
      </c>
      <c r="J197">
        <v>10</v>
      </c>
      <c r="K197">
        <f>IFERROR(VLOOKUP(C197,[1]智慧家庭產品價格表.含稅!C:S,17,FALSE),0)</f>
        <v>1</v>
      </c>
      <c r="L197">
        <v>13</v>
      </c>
      <c r="M197">
        <f t="shared" si="27"/>
        <v>12.43</v>
      </c>
      <c r="N197">
        <v>0</v>
      </c>
      <c r="O197">
        <f t="shared" si="28"/>
        <v>404</v>
      </c>
      <c r="P197">
        <v>105</v>
      </c>
      <c r="Q197">
        <v>630</v>
      </c>
      <c r="R197" s="4">
        <v>1.3620000000000001</v>
      </c>
      <c r="S197" s="2">
        <v>1.3540000000000001</v>
      </c>
      <c r="T197" s="2">
        <v>1.3959999999999999</v>
      </c>
      <c r="U197" s="2">
        <v>1.617</v>
      </c>
      <c r="V197" s="2">
        <v>1.4650000000000001</v>
      </c>
      <c r="W197" s="2">
        <v>1.786</v>
      </c>
      <c r="X197" s="2">
        <v>1.6930000000000001</v>
      </c>
      <c r="Y197">
        <f t="shared" si="29"/>
        <v>550</v>
      </c>
      <c r="Z197">
        <f t="shared" si="30"/>
        <v>633</v>
      </c>
      <c r="AA197">
        <f t="shared" si="31"/>
        <v>576</v>
      </c>
      <c r="AB197">
        <f t="shared" si="32"/>
        <v>445</v>
      </c>
      <c r="AC197">
        <f t="shared" si="33"/>
        <v>524</v>
      </c>
      <c r="AD197">
        <f t="shared" si="34"/>
        <v>393</v>
      </c>
      <c r="AE197">
        <f t="shared" si="35"/>
        <v>419</v>
      </c>
      <c r="AF197">
        <v>0.85</v>
      </c>
      <c r="AG197">
        <v>0.75</v>
      </c>
      <c r="AH197">
        <v>0.5</v>
      </c>
      <c r="AI197">
        <v>0.65</v>
      </c>
      <c r="AJ197">
        <v>0.4</v>
      </c>
      <c r="AK197">
        <v>0.45</v>
      </c>
    </row>
    <row r="198" spans="1:38" x14ac:dyDescent="0.45">
      <c r="A198" t="s">
        <v>508</v>
      </c>
      <c r="B198" t="s">
        <v>37</v>
      </c>
      <c r="C198" t="s">
        <v>750</v>
      </c>
      <c r="D198" t="s">
        <v>751</v>
      </c>
      <c r="E198" t="s">
        <v>735</v>
      </c>
      <c r="F198" t="s">
        <v>752</v>
      </c>
      <c r="G198" t="s">
        <v>753</v>
      </c>
      <c r="H198" t="s">
        <v>41</v>
      </c>
      <c r="I198">
        <v>32.5</v>
      </c>
      <c r="J198">
        <v>12</v>
      </c>
      <c r="K198">
        <f>IFERROR(VLOOKUP(C198,[1]智慧家庭產品價格表.含稅!C:S,17,FALSE),0)</f>
        <v>1</v>
      </c>
      <c r="L198">
        <v>13</v>
      </c>
      <c r="M198">
        <f t="shared" si="27"/>
        <v>14.69</v>
      </c>
      <c r="N198">
        <v>0</v>
      </c>
      <c r="O198">
        <f t="shared" si="28"/>
        <v>477</v>
      </c>
      <c r="P198">
        <v>105</v>
      </c>
      <c r="Q198">
        <v>630</v>
      </c>
      <c r="R198" s="4">
        <v>1.468</v>
      </c>
      <c r="S198" s="2">
        <v>1.4710000000000001</v>
      </c>
      <c r="T198" s="2">
        <v>1.5229999999999999</v>
      </c>
      <c r="U198" s="2">
        <v>1.8080000000000001</v>
      </c>
      <c r="V198" s="2">
        <v>1.61</v>
      </c>
      <c r="W198" s="2">
        <v>2.024</v>
      </c>
      <c r="X198" s="2">
        <v>1.905</v>
      </c>
      <c r="Y198">
        <f t="shared" si="29"/>
        <v>700</v>
      </c>
      <c r="Z198">
        <f t="shared" si="30"/>
        <v>875</v>
      </c>
      <c r="AA198">
        <f t="shared" si="31"/>
        <v>800</v>
      </c>
      <c r="AB198">
        <f t="shared" si="32"/>
        <v>633</v>
      </c>
      <c r="AC198">
        <f t="shared" si="33"/>
        <v>733</v>
      </c>
      <c r="AD198">
        <f t="shared" si="34"/>
        <v>567</v>
      </c>
      <c r="AE198">
        <f t="shared" si="35"/>
        <v>600</v>
      </c>
      <c r="AF198">
        <v>0.85</v>
      </c>
      <c r="AG198">
        <v>0.75</v>
      </c>
      <c r="AH198">
        <v>0.5</v>
      </c>
      <c r="AI198">
        <v>0.65</v>
      </c>
      <c r="AJ198">
        <v>0.4</v>
      </c>
      <c r="AK198">
        <v>0.45</v>
      </c>
    </row>
    <row r="199" spans="1:38" x14ac:dyDescent="0.45">
      <c r="A199" t="s">
        <v>508</v>
      </c>
      <c r="B199" t="s">
        <v>37</v>
      </c>
      <c r="C199" t="s">
        <v>754</v>
      </c>
      <c r="D199" t="s">
        <v>755</v>
      </c>
      <c r="E199" t="s">
        <v>735</v>
      </c>
      <c r="F199" t="s">
        <v>756</v>
      </c>
      <c r="G199" t="s">
        <v>757</v>
      </c>
      <c r="H199" t="s">
        <v>70</v>
      </c>
      <c r="I199">
        <v>32.5</v>
      </c>
      <c r="J199">
        <v>0</v>
      </c>
      <c r="K199">
        <f>IFERROR(VLOOKUP(C199,[1]智慧家庭產品價格表.含稅!C:S,17,FALSE),0)</f>
        <v>0</v>
      </c>
      <c r="L199">
        <v>13</v>
      </c>
      <c r="M199">
        <f t="shared" si="27"/>
        <v>0</v>
      </c>
      <c r="N199">
        <v>0</v>
      </c>
      <c r="O199">
        <f t="shared" si="28"/>
        <v>0</v>
      </c>
      <c r="P199">
        <v>158</v>
      </c>
      <c r="Q199">
        <v>0</v>
      </c>
      <c r="R199" s="4">
        <v>1</v>
      </c>
      <c r="S199" s="2">
        <v>1.1739999999999999</v>
      </c>
      <c r="T199" s="2" t="e">
        <v>#DIV/0!</v>
      </c>
      <c r="U199" s="2" t="e">
        <v>#DIV/0!</v>
      </c>
      <c r="V199" s="2" t="e">
        <v>#DIV/0!</v>
      </c>
      <c r="W199" s="2" t="e">
        <v>#DIV/0!</v>
      </c>
      <c r="X199" s="2">
        <v>1.802</v>
      </c>
      <c r="Y199">
        <f t="shared" si="29"/>
        <v>0</v>
      </c>
      <c r="Z199">
        <f t="shared" si="30"/>
        <v>0</v>
      </c>
      <c r="AA199" t="e">
        <f t="shared" si="31"/>
        <v>#DIV/0!</v>
      </c>
      <c r="AB199" t="e">
        <f t="shared" si="32"/>
        <v>#DIV/0!</v>
      </c>
      <c r="AC199" t="e">
        <f t="shared" si="33"/>
        <v>#DIV/0!</v>
      </c>
      <c r="AD199" t="e">
        <f t="shared" si="34"/>
        <v>#DIV/0!</v>
      </c>
      <c r="AE199">
        <f t="shared" si="35"/>
        <v>0</v>
      </c>
      <c r="AF199">
        <v>0.85</v>
      </c>
      <c r="AG199">
        <v>0.75</v>
      </c>
      <c r="AH199">
        <v>0.5</v>
      </c>
      <c r="AI199">
        <v>0.65</v>
      </c>
      <c r="AJ199">
        <v>0.4</v>
      </c>
      <c r="AK199">
        <v>0.45</v>
      </c>
    </row>
    <row r="200" spans="1:38" x14ac:dyDescent="0.45">
      <c r="A200" t="s">
        <v>508</v>
      </c>
      <c r="B200" t="s">
        <v>37</v>
      </c>
      <c r="C200" t="s">
        <v>758</v>
      </c>
      <c r="D200" t="s">
        <v>759</v>
      </c>
      <c r="E200" t="s">
        <v>38</v>
      </c>
      <c r="F200" t="s">
        <v>760</v>
      </c>
      <c r="G200" t="s">
        <v>761</v>
      </c>
      <c r="H200" t="s">
        <v>70</v>
      </c>
      <c r="I200">
        <v>32.5</v>
      </c>
      <c r="J200">
        <v>0</v>
      </c>
      <c r="K200">
        <f>IFERROR(VLOOKUP(C200,[1]智慧家庭產品價格表.含稅!C:S,17,FALSE),0)</f>
        <v>0</v>
      </c>
      <c r="L200">
        <v>13</v>
      </c>
      <c r="M200">
        <f t="shared" si="27"/>
        <v>0</v>
      </c>
      <c r="N200">
        <v>0</v>
      </c>
      <c r="O200">
        <f t="shared" si="28"/>
        <v>0</v>
      </c>
      <c r="P200">
        <v>158</v>
      </c>
      <c r="Q200">
        <v>189</v>
      </c>
      <c r="R200" s="4">
        <v>1</v>
      </c>
      <c r="S200" s="2">
        <v>0.94099999999999995</v>
      </c>
      <c r="T200" s="2" t="e">
        <v>#DIV/0!</v>
      </c>
      <c r="U200" s="2" t="e">
        <v>#DIV/0!</v>
      </c>
      <c r="V200" s="2" t="e">
        <v>#DIV/0!</v>
      </c>
      <c r="W200" s="2" t="e">
        <v>#DIV/0!</v>
      </c>
      <c r="X200" s="2">
        <v>0.95099999999999996</v>
      </c>
      <c r="Y200">
        <f t="shared" si="29"/>
        <v>0</v>
      </c>
      <c r="Z200">
        <f t="shared" si="30"/>
        <v>0</v>
      </c>
      <c r="AA200" t="e">
        <f t="shared" si="31"/>
        <v>#DIV/0!</v>
      </c>
      <c r="AB200" t="e">
        <f t="shared" si="32"/>
        <v>#DIV/0!</v>
      </c>
      <c r="AC200" t="e">
        <f t="shared" si="33"/>
        <v>#DIV/0!</v>
      </c>
      <c r="AD200" t="e">
        <f t="shared" si="34"/>
        <v>#DIV/0!</v>
      </c>
      <c r="AE200">
        <f t="shared" si="35"/>
        <v>0</v>
      </c>
      <c r="AF200">
        <v>0.85</v>
      </c>
      <c r="AG200">
        <v>0.75</v>
      </c>
      <c r="AH200">
        <v>0.5</v>
      </c>
      <c r="AI200">
        <v>0.65</v>
      </c>
      <c r="AJ200">
        <v>0.4</v>
      </c>
      <c r="AK200">
        <v>0.45</v>
      </c>
    </row>
    <row r="201" spans="1:38" x14ac:dyDescent="0.45">
      <c r="A201" t="s">
        <v>762</v>
      </c>
      <c r="B201" t="s">
        <v>37</v>
      </c>
      <c r="C201" t="s">
        <v>763</v>
      </c>
      <c r="D201" t="s">
        <v>764</v>
      </c>
      <c r="E201" t="s">
        <v>199</v>
      </c>
      <c r="F201" t="s">
        <v>765</v>
      </c>
      <c r="G201" t="s">
        <v>766</v>
      </c>
      <c r="H201" t="s">
        <v>41</v>
      </c>
      <c r="I201">
        <v>32.5</v>
      </c>
      <c r="J201">
        <v>52</v>
      </c>
      <c r="K201">
        <f>IFERROR(VLOOKUP(C201,[1]智慧家庭產品價格表.含稅!C:S,17,FALSE),0)</f>
        <v>3</v>
      </c>
      <c r="L201">
        <v>13</v>
      </c>
      <c r="M201">
        <f t="shared" si="27"/>
        <v>62.15</v>
      </c>
      <c r="N201">
        <v>20</v>
      </c>
      <c r="O201">
        <f t="shared" si="28"/>
        <v>2040</v>
      </c>
      <c r="P201">
        <v>262</v>
      </c>
      <c r="Q201">
        <v>315</v>
      </c>
      <c r="R201" s="4">
        <v>3.12</v>
      </c>
      <c r="S201" s="2">
        <v>1</v>
      </c>
      <c r="T201" s="2">
        <v>1.016</v>
      </c>
      <c r="U201" s="2">
        <v>1.0469999999999999</v>
      </c>
      <c r="V201" s="2">
        <v>1.0249999999999999</v>
      </c>
      <c r="W201" s="2">
        <v>1.071</v>
      </c>
      <c r="X201" s="2">
        <v>1.0580000000000001</v>
      </c>
      <c r="Y201">
        <f t="shared" si="29"/>
        <v>6365</v>
      </c>
      <c r="Z201">
        <f t="shared" si="30"/>
        <v>5410</v>
      </c>
      <c r="AA201">
        <f t="shared" si="31"/>
        <v>4850</v>
      </c>
      <c r="AB201">
        <f t="shared" si="32"/>
        <v>3332</v>
      </c>
      <c r="AC201">
        <f t="shared" si="33"/>
        <v>4241</v>
      </c>
      <c r="AD201">
        <f t="shared" si="34"/>
        <v>2727</v>
      </c>
      <c r="AE201">
        <f t="shared" si="35"/>
        <v>3030</v>
      </c>
      <c r="AF201">
        <v>0.85</v>
      </c>
      <c r="AG201">
        <v>0.75</v>
      </c>
      <c r="AH201">
        <v>0.5</v>
      </c>
      <c r="AI201">
        <v>0.65</v>
      </c>
      <c r="AJ201">
        <v>0.4</v>
      </c>
      <c r="AK201">
        <v>0.45</v>
      </c>
      <c r="AL201" t="s">
        <v>767</v>
      </c>
    </row>
    <row r="202" spans="1:38" x14ac:dyDescent="0.45">
      <c r="A202" t="s">
        <v>762</v>
      </c>
      <c r="B202" t="s">
        <v>37</v>
      </c>
      <c r="C202" t="s">
        <v>768</v>
      </c>
      <c r="D202" t="s">
        <v>769</v>
      </c>
      <c r="E202" t="s">
        <v>199</v>
      </c>
      <c r="F202" t="s">
        <v>770</v>
      </c>
      <c r="G202" t="s">
        <v>771</v>
      </c>
      <c r="H202" t="s">
        <v>41</v>
      </c>
      <c r="I202">
        <v>32.5</v>
      </c>
      <c r="J202">
        <v>179.47</v>
      </c>
      <c r="K202">
        <f>IFERROR(VLOOKUP(C202,[1]智慧家庭產品價格表.含稅!C:S,17,FALSE),0)</f>
        <v>6</v>
      </c>
      <c r="L202">
        <v>13</v>
      </c>
      <c r="M202">
        <f t="shared" si="27"/>
        <v>209.58</v>
      </c>
      <c r="N202">
        <v>200</v>
      </c>
      <c r="O202">
        <f t="shared" si="28"/>
        <v>7011</v>
      </c>
      <c r="P202">
        <v>210</v>
      </c>
      <c r="Q202">
        <v>315</v>
      </c>
      <c r="R202" s="4">
        <v>3.69</v>
      </c>
      <c r="S202" s="2">
        <v>0.94099999999999995</v>
      </c>
      <c r="T202" s="2">
        <v>0.95199999999999996</v>
      </c>
      <c r="U202" s="2">
        <v>0.95199999999999996</v>
      </c>
      <c r="V202" s="2">
        <v>0.95199999999999996</v>
      </c>
      <c r="W202" s="2">
        <v>0.95199999999999996</v>
      </c>
      <c r="X202" s="2">
        <v>0.95199999999999996</v>
      </c>
      <c r="Y202">
        <f t="shared" si="29"/>
        <v>25871</v>
      </c>
      <c r="Z202">
        <f t="shared" si="30"/>
        <v>20693</v>
      </c>
      <c r="AA202">
        <f t="shared" si="31"/>
        <v>18472</v>
      </c>
      <c r="AB202">
        <f t="shared" si="32"/>
        <v>12315</v>
      </c>
      <c r="AC202">
        <f t="shared" si="33"/>
        <v>16009</v>
      </c>
      <c r="AD202">
        <f t="shared" si="34"/>
        <v>9852</v>
      </c>
      <c r="AE202">
        <f t="shared" si="35"/>
        <v>11083</v>
      </c>
      <c r="AF202">
        <v>0.85</v>
      </c>
      <c r="AG202">
        <v>0.75</v>
      </c>
      <c r="AH202">
        <v>0.5</v>
      </c>
      <c r="AI202">
        <v>0.65</v>
      </c>
      <c r="AJ202">
        <v>0.4</v>
      </c>
      <c r="AK202">
        <v>0.45</v>
      </c>
    </row>
    <row r="203" spans="1:38" x14ac:dyDescent="0.45">
      <c r="A203" t="s">
        <v>762</v>
      </c>
      <c r="B203" t="s">
        <v>37</v>
      </c>
      <c r="C203" t="s">
        <v>772</v>
      </c>
      <c r="D203" t="s">
        <v>773</v>
      </c>
      <c r="E203" t="s">
        <v>38</v>
      </c>
      <c r="G203" t="s">
        <v>774</v>
      </c>
      <c r="H203" t="s">
        <v>41</v>
      </c>
      <c r="I203">
        <v>32.5</v>
      </c>
      <c r="J203">
        <v>3036</v>
      </c>
      <c r="K203">
        <f>IFERROR(VLOOKUP(C203,[1]智慧家庭產品價格表.含稅!C:S,17,FALSE),0)</f>
        <v>0</v>
      </c>
      <c r="L203">
        <v>13</v>
      </c>
      <c r="M203">
        <f t="shared" si="27"/>
        <v>3430.68</v>
      </c>
      <c r="N203">
        <v>0</v>
      </c>
      <c r="O203">
        <f t="shared" si="28"/>
        <v>111497</v>
      </c>
      <c r="P203">
        <v>105</v>
      </c>
      <c r="Q203">
        <v>52</v>
      </c>
      <c r="R203" s="4">
        <v>0</v>
      </c>
      <c r="S203" s="2" t="e">
        <v>#DIV/0!</v>
      </c>
      <c r="T203" s="2" t="e">
        <v>#DIV/0!</v>
      </c>
      <c r="U203" s="2" t="e">
        <v>#DIV/0!</v>
      </c>
      <c r="V203" s="2" t="e">
        <v>#DIV/0!</v>
      </c>
      <c r="W203" s="2" t="e">
        <v>#DIV/0!</v>
      </c>
      <c r="X203" s="2" t="e">
        <v>#DIV/0!</v>
      </c>
      <c r="Y203">
        <f t="shared" si="29"/>
        <v>0</v>
      </c>
      <c r="Z203" t="e">
        <f t="shared" si="30"/>
        <v>#DIV/0!</v>
      </c>
      <c r="AA203" t="e">
        <f t="shared" si="31"/>
        <v>#DIV/0!</v>
      </c>
      <c r="AB203" t="e">
        <f t="shared" si="32"/>
        <v>#DIV/0!</v>
      </c>
      <c r="AC203" t="e">
        <f t="shared" si="33"/>
        <v>#DIV/0!</v>
      </c>
      <c r="AD203" t="e">
        <f t="shared" si="34"/>
        <v>#DIV/0!</v>
      </c>
      <c r="AE203" t="e">
        <f t="shared" si="35"/>
        <v>#DIV/0!</v>
      </c>
      <c r="AF203">
        <v>0.85</v>
      </c>
      <c r="AG203">
        <v>0.75</v>
      </c>
      <c r="AH203">
        <v>0.5</v>
      </c>
      <c r="AI203">
        <v>0.65</v>
      </c>
      <c r="AJ203">
        <v>0.4</v>
      </c>
      <c r="AK203">
        <v>0.45</v>
      </c>
    </row>
    <row r="204" spans="1:38" x14ac:dyDescent="0.45">
      <c r="A204" t="s">
        <v>762</v>
      </c>
      <c r="B204" t="s">
        <v>37</v>
      </c>
      <c r="C204" t="s">
        <v>775</v>
      </c>
      <c r="D204" t="s">
        <v>776</v>
      </c>
      <c r="E204" t="s">
        <v>38</v>
      </c>
      <c r="G204" t="s">
        <v>777</v>
      </c>
      <c r="H204" t="s">
        <v>41</v>
      </c>
      <c r="I204">
        <v>32.5</v>
      </c>
      <c r="J204">
        <v>4553.9999999999991</v>
      </c>
      <c r="K204">
        <f>IFERROR(VLOOKUP(C204,[1]智慧家庭產品價格表.含稅!C:S,17,FALSE),0)</f>
        <v>0</v>
      </c>
      <c r="L204">
        <v>13</v>
      </c>
      <c r="M204">
        <f t="shared" si="27"/>
        <v>5146.0200000000004</v>
      </c>
      <c r="N204">
        <v>0</v>
      </c>
      <c r="O204">
        <f t="shared" si="28"/>
        <v>167246</v>
      </c>
      <c r="P204">
        <v>105</v>
      </c>
      <c r="Q204">
        <v>52</v>
      </c>
      <c r="R204" s="4">
        <v>0</v>
      </c>
      <c r="S204" s="2" t="e">
        <v>#DIV/0!</v>
      </c>
      <c r="T204" s="2" t="e">
        <v>#DIV/0!</v>
      </c>
      <c r="U204" s="2" t="e">
        <v>#DIV/0!</v>
      </c>
      <c r="V204" s="2" t="e">
        <v>#DIV/0!</v>
      </c>
      <c r="W204" s="2" t="e">
        <v>#DIV/0!</v>
      </c>
      <c r="X204" s="2" t="e">
        <v>#DIV/0!</v>
      </c>
      <c r="Y204">
        <f t="shared" si="29"/>
        <v>0</v>
      </c>
      <c r="Z204" t="e">
        <f t="shared" si="30"/>
        <v>#DIV/0!</v>
      </c>
      <c r="AA204" t="e">
        <f t="shared" si="31"/>
        <v>#DIV/0!</v>
      </c>
      <c r="AB204" t="e">
        <f t="shared" si="32"/>
        <v>#DIV/0!</v>
      </c>
      <c r="AC204" t="e">
        <f t="shared" si="33"/>
        <v>#DIV/0!</v>
      </c>
      <c r="AD204" t="e">
        <f t="shared" si="34"/>
        <v>#DIV/0!</v>
      </c>
      <c r="AE204" t="e">
        <f t="shared" si="35"/>
        <v>#DIV/0!</v>
      </c>
      <c r="AF204">
        <v>0.85</v>
      </c>
      <c r="AG204">
        <v>0.75</v>
      </c>
      <c r="AH204">
        <v>0.5</v>
      </c>
      <c r="AI204">
        <v>0.65</v>
      </c>
      <c r="AJ204">
        <v>0.4</v>
      </c>
      <c r="AK204">
        <v>0.45</v>
      </c>
    </row>
    <row r="205" spans="1:38" x14ac:dyDescent="0.45">
      <c r="A205" t="s">
        <v>762</v>
      </c>
      <c r="B205" t="s">
        <v>37</v>
      </c>
      <c r="C205" t="s">
        <v>778</v>
      </c>
      <c r="D205" t="s">
        <v>779</v>
      </c>
      <c r="E205" t="s">
        <v>38</v>
      </c>
      <c r="G205" t="s">
        <v>780</v>
      </c>
      <c r="H205" t="s">
        <v>41</v>
      </c>
      <c r="I205">
        <v>32.5</v>
      </c>
      <c r="J205">
        <v>7313.9999999999991</v>
      </c>
      <c r="K205">
        <f>IFERROR(VLOOKUP(C205,[1]智慧家庭產品價格表.含稅!C:S,17,FALSE),0)</f>
        <v>0</v>
      </c>
      <c r="L205">
        <v>13</v>
      </c>
      <c r="M205">
        <f t="shared" si="27"/>
        <v>8264.82</v>
      </c>
      <c r="N205">
        <v>0</v>
      </c>
      <c r="O205">
        <f t="shared" si="28"/>
        <v>268607</v>
      </c>
      <c r="P205">
        <v>105</v>
      </c>
      <c r="Q205">
        <v>52</v>
      </c>
      <c r="R205" s="4">
        <v>0</v>
      </c>
      <c r="S205" s="2" t="e">
        <v>#DIV/0!</v>
      </c>
      <c r="T205" s="2" t="e">
        <v>#DIV/0!</v>
      </c>
      <c r="U205" s="2" t="e">
        <v>#DIV/0!</v>
      </c>
      <c r="V205" s="2" t="e">
        <v>#DIV/0!</v>
      </c>
      <c r="W205" s="2" t="e">
        <v>#DIV/0!</v>
      </c>
      <c r="X205" s="2" t="e">
        <v>#DIV/0!</v>
      </c>
      <c r="Y205">
        <f t="shared" si="29"/>
        <v>0</v>
      </c>
      <c r="Z205" t="e">
        <f t="shared" si="30"/>
        <v>#DIV/0!</v>
      </c>
      <c r="AA205" t="e">
        <f t="shared" si="31"/>
        <v>#DIV/0!</v>
      </c>
      <c r="AB205" t="e">
        <f t="shared" si="32"/>
        <v>#DIV/0!</v>
      </c>
      <c r="AC205" t="e">
        <f t="shared" si="33"/>
        <v>#DIV/0!</v>
      </c>
      <c r="AD205" t="e">
        <f t="shared" si="34"/>
        <v>#DIV/0!</v>
      </c>
      <c r="AE205" t="e">
        <f t="shared" si="35"/>
        <v>#DIV/0!</v>
      </c>
      <c r="AF205">
        <v>0.85</v>
      </c>
      <c r="AG205">
        <v>0.75</v>
      </c>
      <c r="AH205">
        <v>0.5</v>
      </c>
      <c r="AI205">
        <v>0.65</v>
      </c>
      <c r="AJ205">
        <v>0.4</v>
      </c>
      <c r="AK205">
        <v>0.45</v>
      </c>
    </row>
    <row r="206" spans="1:38" x14ac:dyDescent="0.45">
      <c r="A206" t="s">
        <v>762</v>
      </c>
      <c r="B206" t="s">
        <v>37</v>
      </c>
      <c r="C206" t="s">
        <v>781</v>
      </c>
      <c r="D206" t="s">
        <v>782</v>
      </c>
      <c r="E206" t="s">
        <v>38</v>
      </c>
      <c r="G206" t="s">
        <v>783</v>
      </c>
      <c r="H206" t="s">
        <v>41</v>
      </c>
      <c r="I206">
        <v>32.5</v>
      </c>
      <c r="J206">
        <v>11868</v>
      </c>
      <c r="K206">
        <f>IFERROR(VLOOKUP(C206,[1]智慧家庭產品價格表.含稅!C:S,17,FALSE),0)</f>
        <v>0</v>
      </c>
      <c r="L206">
        <v>13</v>
      </c>
      <c r="M206">
        <f t="shared" si="27"/>
        <v>13410.84</v>
      </c>
      <c r="N206">
        <v>0</v>
      </c>
      <c r="O206">
        <f t="shared" si="28"/>
        <v>435852</v>
      </c>
      <c r="P206">
        <v>105</v>
      </c>
      <c r="Q206">
        <v>52</v>
      </c>
      <c r="R206" s="4">
        <v>0</v>
      </c>
      <c r="S206" s="2" t="e">
        <v>#DIV/0!</v>
      </c>
      <c r="T206" s="2" t="e">
        <v>#DIV/0!</v>
      </c>
      <c r="U206" s="2" t="e">
        <v>#DIV/0!</v>
      </c>
      <c r="V206" s="2" t="e">
        <v>#DIV/0!</v>
      </c>
      <c r="W206" s="2" t="e">
        <v>#DIV/0!</v>
      </c>
      <c r="X206" s="2" t="e">
        <v>#DIV/0!</v>
      </c>
      <c r="Y206">
        <f t="shared" si="29"/>
        <v>0</v>
      </c>
      <c r="Z206" t="e">
        <f t="shared" si="30"/>
        <v>#DIV/0!</v>
      </c>
      <c r="AA206" t="e">
        <f t="shared" si="31"/>
        <v>#DIV/0!</v>
      </c>
      <c r="AB206" t="e">
        <f t="shared" si="32"/>
        <v>#DIV/0!</v>
      </c>
      <c r="AC206" t="e">
        <f t="shared" si="33"/>
        <v>#DIV/0!</v>
      </c>
      <c r="AD206" t="e">
        <f t="shared" si="34"/>
        <v>#DIV/0!</v>
      </c>
      <c r="AE206" t="e">
        <f t="shared" si="35"/>
        <v>#DIV/0!</v>
      </c>
      <c r="AF206">
        <v>0.85</v>
      </c>
      <c r="AG206">
        <v>0.75</v>
      </c>
      <c r="AH206">
        <v>0.5</v>
      </c>
      <c r="AI206">
        <v>0.65</v>
      </c>
      <c r="AJ206">
        <v>0.4</v>
      </c>
      <c r="AK206">
        <v>0.45</v>
      </c>
    </row>
    <row r="207" spans="1:38" x14ac:dyDescent="0.45">
      <c r="A207" t="s">
        <v>762</v>
      </c>
      <c r="B207" t="s">
        <v>37</v>
      </c>
      <c r="C207" t="s">
        <v>784</v>
      </c>
      <c r="D207" t="s">
        <v>785</v>
      </c>
      <c r="E207" t="s">
        <v>199</v>
      </c>
      <c r="F207" t="s">
        <v>786</v>
      </c>
      <c r="G207" t="s">
        <v>787</v>
      </c>
      <c r="H207" t="s">
        <v>41</v>
      </c>
      <c r="I207">
        <v>32.5</v>
      </c>
      <c r="J207">
        <v>26</v>
      </c>
      <c r="K207">
        <f>IFERROR(VLOOKUP(C207,[1]智慧家庭產品價格表.含稅!C:S,17,FALSE),0)</f>
        <v>3</v>
      </c>
      <c r="L207">
        <v>13</v>
      </c>
      <c r="M207">
        <f t="shared" si="27"/>
        <v>32.770000000000003</v>
      </c>
      <c r="N207">
        <v>100</v>
      </c>
      <c r="O207">
        <f t="shared" si="28"/>
        <v>1165</v>
      </c>
      <c r="P207">
        <v>262</v>
      </c>
      <c r="Q207">
        <v>315</v>
      </c>
      <c r="R207" s="4">
        <v>3.016</v>
      </c>
      <c r="S207" s="2">
        <v>0.96499999999999997</v>
      </c>
      <c r="T207" s="2">
        <v>0.97799999999999998</v>
      </c>
      <c r="U207" s="2">
        <v>0.99</v>
      </c>
      <c r="V207" s="2">
        <v>0.98099999999999998</v>
      </c>
      <c r="W207" s="2">
        <v>1</v>
      </c>
      <c r="X207" s="2">
        <v>0.99399999999999999</v>
      </c>
      <c r="Y207">
        <f t="shared" si="29"/>
        <v>3514</v>
      </c>
      <c r="Z207">
        <f t="shared" si="30"/>
        <v>2882</v>
      </c>
      <c r="AA207">
        <f t="shared" si="31"/>
        <v>2578</v>
      </c>
      <c r="AB207">
        <f t="shared" si="32"/>
        <v>1739</v>
      </c>
      <c r="AC207">
        <f t="shared" si="33"/>
        <v>2241</v>
      </c>
      <c r="AD207">
        <f t="shared" si="34"/>
        <v>1406</v>
      </c>
      <c r="AE207">
        <f t="shared" si="35"/>
        <v>1572</v>
      </c>
      <c r="AF207">
        <v>0.85</v>
      </c>
      <c r="AG207">
        <v>0.75</v>
      </c>
      <c r="AH207">
        <v>0.5</v>
      </c>
      <c r="AI207">
        <v>0.65</v>
      </c>
      <c r="AJ207">
        <v>0.4</v>
      </c>
      <c r="AK207">
        <v>0.45</v>
      </c>
      <c r="AL207" t="s">
        <v>259</v>
      </c>
    </row>
    <row r="208" spans="1:38" x14ac:dyDescent="0.45">
      <c r="A208" t="s">
        <v>762</v>
      </c>
      <c r="B208" t="s">
        <v>37</v>
      </c>
      <c r="C208" t="s">
        <v>788</v>
      </c>
      <c r="D208" t="s">
        <v>789</v>
      </c>
      <c r="E208" t="s">
        <v>199</v>
      </c>
      <c r="F208" t="s">
        <v>765</v>
      </c>
      <c r="G208" t="s">
        <v>790</v>
      </c>
      <c r="H208" t="s">
        <v>41</v>
      </c>
      <c r="I208">
        <v>32.5</v>
      </c>
      <c r="J208">
        <v>38</v>
      </c>
      <c r="K208">
        <f>IFERROR(VLOOKUP(C208,[1]智慧家庭產品價格表.含稅!C:S,17,FALSE),0)</f>
        <v>3</v>
      </c>
      <c r="L208">
        <v>13</v>
      </c>
      <c r="M208">
        <f t="shared" si="27"/>
        <v>46.33</v>
      </c>
      <c r="N208">
        <v>100</v>
      </c>
      <c r="O208">
        <f t="shared" si="28"/>
        <v>1606</v>
      </c>
      <c r="P208">
        <v>262</v>
      </c>
      <c r="Q208">
        <v>315</v>
      </c>
      <c r="R208" s="4">
        <v>2.274</v>
      </c>
      <c r="S208" s="2">
        <v>1.141</v>
      </c>
      <c r="T208" s="2">
        <v>1.1679999999999999</v>
      </c>
      <c r="U208" s="2">
        <v>1.276</v>
      </c>
      <c r="V208" s="2">
        <v>1.2010000000000001</v>
      </c>
      <c r="W208" s="2">
        <v>1.357</v>
      </c>
      <c r="X208" s="2">
        <v>1.3120000000000001</v>
      </c>
      <c r="Y208">
        <f t="shared" si="29"/>
        <v>3652</v>
      </c>
      <c r="Z208">
        <f t="shared" si="30"/>
        <v>3542</v>
      </c>
      <c r="AA208">
        <f t="shared" si="31"/>
        <v>3199</v>
      </c>
      <c r="AB208">
        <f t="shared" si="32"/>
        <v>2330</v>
      </c>
      <c r="AC208">
        <f t="shared" si="33"/>
        <v>2851</v>
      </c>
      <c r="AD208">
        <f t="shared" si="34"/>
        <v>1982</v>
      </c>
      <c r="AE208">
        <f t="shared" si="35"/>
        <v>2156</v>
      </c>
      <c r="AF208">
        <v>0.85</v>
      </c>
      <c r="AG208">
        <v>0.75</v>
      </c>
      <c r="AH208">
        <v>0.5</v>
      </c>
      <c r="AI208">
        <v>0.65</v>
      </c>
      <c r="AJ208">
        <v>0.4</v>
      </c>
      <c r="AK208">
        <v>0.45</v>
      </c>
    </row>
    <row r="209" spans="1:37" x14ac:dyDescent="0.45">
      <c r="A209" t="s">
        <v>791</v>
      </c>
      <c r="B209" t="s">
        <v>37</v>
      </c>
      <c r="C209" t="s">
        <v>792</v>
      </c>
      <c r="D209" t="s">
        <v>793</v>
      </c>
      <c r="E209" t="s">
        <v>81</v>
      </c>
      <c r="G209" t="s">
        <v>794</v>
      </c>
      <c r="H209" t="s">
        <v>41</v>
      </c>
      <c r="I209">
        <v>32.5</v>
      </c>
      <c r="J209">
        <v>830</v>
      </c>
      <c r="K209">
        <f>IFERROR(VLOOKUP(C209,[1]智慧家庭產品價格表.含稅!C:S,17,FALSE),0)</f>
        <v>4</v>
      </c>
      <c r="L209">
        <v>13</v>
      </c>
      <c r="M209">
        <f t="shared" si="27"/>
        <v>942.42</v>
      </c>
      <c r="N209">
        <v>0</v>
      </c>
      <c r="O209">
        <f t="shared" si="28"/>
        <v>30629</v>
      </c>
      <c r="P209">
        <v>315</v>
      </c>
      <c r="Q209">
        <v>1575</v>
      </c>
      <c r="R209" s="4">
        <v>3.49</v>
      </c>
      <c r="S209" s="2">
        <v>0.94099999999999995</v>
      </c>
      <c r="T209" s="2">
        <v>0.95199999999999996</v>
      </c>
      <c r="U209" s="2">
        <v>0.95199999999999996</v>
      </c>
      <c r="V209" s="2">
        <v>0.95199999999999996</v>
      </c>
      <c r="W209" s="2">
        <v>0.95199999999999996</v>
      </c>
      <c r="X209" s="2">
        <v>0.95199999999999996</v>
      </c>
      <c r="Y209">
        <f t="shared" si="29"/>
        <v>106895</v>
      </c>
      <c r="Z209">
        <f t="shared" si="30"/>
        <v>85500</v>
      </c>
      <c r="AA209">
        <f t="shared" si="31"/>
        <v>76323</v>
      </c>
      <c r="AB209">
        <f t="shared" si="32"/>
        <v>50882</v>
      </c>
      <c r="AC209">
        <f t="shared" si="33"/>
        <v>66147</v>
      </c>
      <c r="AD209">
        <f t="shared" si="34"/>
        <v>40706</v>
      </c>
      <c r="AE209">
        <f t="shared" si="35"/>
        <v>45794</v>
      </c>
      <c r="AF209">
        <v>0.85</v>
      </c>
      <c r="AG209">
        <v>0.75</v>
      </c>
      <c r="AH209">
        <v>0.5</v>
      </c>
      <c r="AI209">
        <v>0.65</v>
      </c>
      <c r="AJ209">
        <v>0.4</v>
      </c>
      <c r="AK209">
        <v>0.45</v>
      </c>
    </row>
    <row r="210" spans="1:37" x14ac:dyDescent="0.45">
      <c r="A210" t="s">
        <v>791</v>
      </c>
      <c r="B210" t="s">
        <v>37</v>
      </c>
      <c r="C210" t="s">
        <v>795</v>
      </c>
      <c r="D210" t="s">
        <v>796</v>
      </c>
      <c r="E210" t="s">
        <v>81</v>
      </c>
      <c r="G210" t="s">
        <v>797</v>
      </c>
      <c r="H210" t="s">
        <v>41</v>
      </c>
      <c r="I210">
        <v>32.5</v>
      </c>
      <c r="J210">
        <v>1035</v>
      </c>
      <c r="K210">
        <f>IFERROR(VLOOKUP(C210,[1]智慧家庭產品價格表.含稅!C:S,17,FALSE),0)</f>
        <v>4</v>
      </c>
      <c r="L210">
        <v>13</v>
      </c>
      <c r="M210">
        <f t="shared" si="27"/>
        <v>1174.07</v>
      </c>
      <c r="N210">
        <v>0</v>
      </c>
      <c r="O210">
        <f t="shared" si="28"/>
        <v>38157</v>
      </c>
      <c r="P210">
        <v>315</v>
      </c>
      <c r="Q210">
        <v>1575</v>
      </c>
      <c r="R210" s="4">
        <v>3.4940000000000002</v>
      </c>
      <c r="S210" s="2">
        <v>0.94099999999999995</v>
      </c>
      <c r="T210" s="2">
        <v>0.95199999999999996</v>
      </c>
      <c r="U210" s="2">
        <v>0.95199999999999996</v>
      </c>
      <c r="V210" s="2">
        <v>0.95199999999999996</v>
      </c>
      <c r="W210" s="2">
        <v>0.95199999999999996</v>
      </c>
      <c r="X210" s="2">
        <v>0.95199999999999996</v>
      </c>
      <c r="Y210">
        <f t="shared" si="29"/>
        <v>133321</v>
      </c>
      <c r="Z210">
        <f t="shared" si="30"/>
        <v>106637</v>
      </c>
      <c r="AA210">
        <f t="shared" si="31"/>
        <v>95191</v>
      </c>
      <c r="AB210">
        <f t="shared" si="32"/>
        <v>63461</v>
      </c>
      <c r="AC210">
        <f t="shared" si="33"/>
        <v>82499</v>
      </c>
      <c r="AD210">
        <f t="shared" si="34"/>
        <v>50769</v>
      </c>
      <c r="AE210">
        <f t="shared" si="35"/>
        <v>57115</v>
      </c>
      <c r="AF210">
        <v>0.85</v>
      </c>
      <c r="AG210">
        <v>0.75</v>
      </c>
      <c r="AH210">
        <v>0.5</v>
      </c>
      <c r="AI210">
        <v>0.65</v>
      </c>
      <c r="AJ210">
        <v>0.4</v>
      </c>
      <c r="AK210">
        <v>0.45</v>
      </c>
    </row>
    <row r="211" spans="1:37" x14ac:dyDescent="0.45">
      <c r="A211" t="s">
        <v>791</v>
      </c>
      <c r="B211" t="s">
        <v>37</v>
      </c>
      <c r="C211" t="s">
        <v>798</v>
      </c>
      <c r="D211" t="s">
        <v>249</v>
      </c>
      <c r="E211" t="s">
        <v>199</v>
      </c>
      <c r="G211" t="s">
        <v>799</v>
      </c>
      <c r="H211" t="s">
        <v>70</v>
      </c>
      <c r="I211">
        <v>32.5</v>
      </c>
      <c r="J211">
        <v>0</v>
      </c>
      <c r="K211">
        <f>IFERROR(VLOOKUP(C211,[1]智慧家庭產品價格表.含稅!C:S,17,FALSE),0)</f>
        <v>0</v>
      </c>
      <c r="L211">
        <v>13</v>
      </c>
      <c r="M211">
        <f t="shared" si="27"/>
        <v>0</v>
      </c>
      <c r="N211">
        <v>0</v>
      </c>
      <c r="O211">
        <f t="shared" si="28"/>
        <v>0</v>
      </c>
      <c r="P211">
        <v>315</v>
      </c>
      <c r="Q211">
        <v>1575</v>
      </c>
      <c r="R211" s="4">
        <v>1</v>
      </c>
      <c r="S211" s="2" t="e">
        <v>#DIV/0!</v>
      </c>
      <c r="T211" s="2" t="e">
        <v>#DIV/0!</v>
      </c>
      <c r="U211" s="2" t="e">
        <v>#DIV/0!</v>
      </c>
      <c r="V211" s="2" t="e">
        <v>#DIV/0!</v>
      </c>
      <c r="W211" s="2" t="e">
        <v>#DIV/0!</v>
      </c>
      <c r="X211" s="2" t="e">
        <v>#DIV/0!</v>
      </c>
      <c r="Y211">
        <f t="shared" si="29"/>
        <v>0</v>
      </c>
      <c r="Z211" t="e">
        <f t="shared" si="30"/>
        <v>#DIV/0!</v>
      </c>
      <c r="AA211" t="e">
        <f t="shared" si="31"/>
        <v>#DIV/0!</v>
      </c>
      <c r="AB211" t="e">
        <f t="shared" si="32"/>
        <v>#DIV/0!</v>
      </c>
      <c r="AC211" t="e">
        <f t="shared" si="33"/>
        <v>#DIV/0!</v>
      </c>
      <c r="AD211" t="e">
        <f t="shared" si="34"/>
        <v>#DIV/0!</v>
      </c>
      <c r="AE211" t="e">
        <f t="shared" si="35"/>
        <v>#DIV/0!</v>
      </c>
      <c r="AF211">
        <v>0.85</v>
      </c>
      <c r="AG211">
        <v>0.75</v>
      </c>
      <c r="AH211">
        <v>0.5</v>
      </c>
      <c r="AI211">
        <v>0.65</v>
      </c>
      <c r="AJ211">
        <v>0.4</v>
      </c>
      <c r="AK211">
        <v>0.45</v>
      </c>
    </row>
    <row r="212" spans="1:37" x14ac:dyDescent="0.45">
      <c r="A212" t="s">
        <v>791</v>
      </c>
      <c r="B212" t="s">
        <v>37</v>
      </c>
      <c r="C212" t="s">
        <v>800</v>
      </c>
      <c r="D212" t="s">
        <v>801</v>
      </c>
      <c r="E212" t="s">
        <v>199</v>
      </c>
      <c r="G212" t="s">
        <v>802</v>
      </c>
      <c r="H212" t="s">
        <v>41</v>
      </c>
      <c r="I212">
        <v>32.5</v>
      </c>
      <c r="J212">
        <v>270</v>
      </c>
      <c r="K212">
        <f>IFERROR(VLOOKUP(C212,[1]智慧家庭產品價格表.含稅!C:S,17,FALSE),0)</f>
        <v>4</v>
      </c>
      <c r="L212">
        <v>13</v>
      </c>
      <c r="M212">
        <f t="shared" si="27"/>
        <v>309.62</v>
      </c>
      <c r="N212">
        <v>0</v>
      </c>
      <c r="O212">
        <f t="shared" si="28"/>
        <v>10063</v>
      </c>
      <c r="P212">
        <v>315</v>
      </c>
      <c r="Q212">
        <v>1575</v>
      </c>
      <c r="R212" s="4">
        <v>3.456</v>
      </c>
      <c r="S212" s="2">
        <v>0.94099999999999995</v>
      </c>
      <c r="T212" s="2">
        <v>0.95199999999999996</v>
      </c>
      <c r="U212" s="2">
        <v>0.95199999999999996</v>
      </c>
      <c r="V212" s="2">
        <v>0.95199999999999996</v>
      </c>
      <c r="W212" s="2">
        <v>0.95199999999999996</v>
      </c>
      <c r="X212" s="2">
        <v>0.95199999999999996</v>
      </c>
      <c r="Y212">
        <f t="shared" si="29"/>
        <v>34778</v>
      </c>
      <c r="Z212">
        <f t="shared" si="30"/>
        <v>27817</v>
      </c>
      <c r="AA212">
        <f t="shared" si="31"/>
        <v>24831</v>
      </c>
      <c r="AB212">
        <f t="shared" si="32"/>
        <v>16554</v>
      </c>
      <c r="AC212">
        <f t="shared" si="33"/>
        <v>21521</v>
      </c>
      <c r="AD212">
        <f t="shared" si="34"/>
        <v>13243</v>
      </c>
      <c r="AE212">
        <f t="shared" si="35"/>
        <v>14899</v>
      </c>
      <c r="AF212">
        <v>0.85</v>
      </c>
      <c r="AG212">
        <v>0.75</v>
      </c>
      <c r="AH212">
        <v>0.5</v>
      </c>
      <c r="AI212">
        <v>0.65</v>
      </c>
      <c r="AJ212">
        <v>0.4</v>
      </c>
      <c r="AK212">
        <v>0.45</v>
      </c>
    </row>
    <row r="213" spans="1:37" x14ac:dyDescent="0.45">
      <c r="A213" t="s">
        <v>791</v>
      </c>
      <c r="B213" t="s">
        <v>37</v>
      </c>
      <c r="C213" t="s">
        <v>803</v>
      </c>
      <c r="D213" t="s">
        <v>804</v>
      </c>
      <c r="E213" t="s">
        <v>199</v>
      </c>
      <c r="G213" t="s">
        <v>805</v>
      </c>
      <c r="H213" t="s">
        <v>41</v>
      </c>
      <c r="I213">
        <v>32.5</v>
      </c>
      <c r="J213">
        <v>79</v>
      </c>
      <c r="K213">
        <f>IFERROR(VLOOKUP(C213,[1]智慧家庭產品價格表.含稅!C:S,17,FALSE),0)</f>
        <v>4</v>
      </c>
      <c r="L213">
        <v>13</v>
      </c>
      <c r="M213">
        <f t="shared" si="27"/>
        <v>93.79</v>
      </c>
      <c r="N213">
        <v>0</v>
      </c>
      <c r="O213">
        <f t="shared" si="28"/>
        <v>3048</v>
      </c>
      <c r="P213">
        <v>315</v>
      </c>
      <c r="Q213">
        <v>1575</v>
      </c>
      <c r="R213" s="4">
        <v>3.3380000000000001</v>
      </c>
      <c r="S213" s="2">
        <v>0.94099999999999995</v>
      </c>
      <c r="T213" s="2">
        <v>0.95199999999999996</v>
      </c>
      <c r="U213" s="2">
        <v>0.95199999999999996</v>
      </c>
      <c r="V213" s="2">
        <v>0.95199999999999996</v>
      </c>
      <c r="W213" s="2">
        <v>0.95199999999999996</v>
      </c>
      <c r="X213" s="2">
        <v>0.95199999999999996</v>
      </c>
      <c r="Y213">
        <f t="shared" si="29"/>
        <v>10174</v>
      </c>
      <c r="Z213">
        <f t="shared" si="30"/>
        <v>8138</v>
      </c>
      <c r="AA213">
        <f t="shared" si="31"/>
        <v>7264</v>
      </c>
      <c r="AB213">
        <f t="shared" si="32"/>
        <v>4843</v>
      </c>
      <c r="AC213">
        <f t="shared" si="33"/>
        <v>6296</v>
      </c>
      <c r="AD213">
        <f t="shared" si="34"/>
        <v>3874</v>
      </c>
      <c r="AE213">
        <f t="shared" si="35"/>
        <v>4359</v>
      </c>
      <c r="AF213">
        <v>0.85</v>
      </c>
      <c r="AG213">
        <v>0.75</v>
      </c>
      <c r="AH213">
        <v>0.5</v>
      </c>
      <c r="AI213">
        <v>0.65</v>
      </c>
      <c r="AJ213">
        <v>0.4</v>
      </c>
      <c r="AK213">
        <v>0.45</v>
      </c>
    </row>
    <row r="214" spans="1:37" x14ac:dyDescent="0.45">
      <c r="A214" t="s">
        <v>791</v>
      </c>
      <c r="B214" t="s">
        <v>37</v>
      </c>
      <c r="C214" t="s">
        <v>806</v>
      </c>
      <c r="D214" t="s">
        <v>807</v>
      </c>
      <c r="E214" t="s">
        <v>199</v>
      </c>
      <c r="G214" t="s">
        <v>808</v>
      </c>
      <c r="H214" t="s">
        <v>41</v>
      </c>
      <c r="I214">
        <v>32.5</v>
      </c>
      <c r="J214">
        <v>32</v>
      </c>
      <c r="K214">
        <f>IFERROR(VLOOKUP(C214,[1]智慧家庭產品價格表.含稅!C:S,17,FALSE),0)</f>
        <v>4</v>
      </c>
      <c r="L214">
        <v>13</v>
      </c>
      <c r="M214">
        <f t="shared" si="27"/>
        <v>40.68</v>
      </c>
      <c r="N214">
        <v>0</v>
      </c>
      <c r="O214">
        <f t="shared" si="28"/>
        <v>1322</v>
      </c>
      <c r="P214">
        <v>315</v>
      </c>
      <c r="Q214">
        <v>1575</v>
      </c>
      <c r="R214" s="4">
        <v>3.1179999999999999</v>
      </c>
      <c r="S214" s="2">
        <v>0.94099999999999995</v>
      </c>
      <c r="T214" s="2">
        <v>0.95199999999999996</v>
      </c>
      <c r="U214" s="2">
        <v>0.95199999999999996</v>
      </c>
      <c r="V214" s="2">
        <v>0.95199999999999996</v>
      </c>
      <c r="W214" s="2">
        <v>0.95199999999999996</v>
      </c>
      <c r="X214" s="2">
        <v>0.95199999999999996</v>
      </c>
      <c r="Y214">
        <f t="shared" si="29"/>
        <v>4122</v>
      </c>
      <c r="Z214">
        <f t="shared" si="30"/>
        <v>3297</v>
      </c>
      <c r="AA214">
        <f t="shared" si="31"/>
        <v>2943</v>
      </c>
      <c r="AB214">
        <f t="shared" si="32"/>
        <v>1962</v>
      </c>
      <c r="AC214">
        <f t="shared" si="33"/>
        <v>2551</v>
      </c>
      <c r="AD214">
        <f t="shared" si="34"/>
        <v>1570</v>
      </c>
      <c r="AE214">
        <f t="shared" si="35"/>
        <v>1766</v>
      </c>
      <c r="AF214">
        <v>0.85</v>
      </c>
      <c r="AG214">
        <v>0.75</v>
      </c>
      <c r="AH214">
        <v>0.5</v>
      </c>
      <c r="AI214">
        <v>0.65</v>
      </c>
      <c r="AJ214">
        <v>0.4</v>
      </c>
      <c r="AK214">
        <v>0.45</v>
      </c>
    </row>
    <row r="215" spans="1:37" x14ac:dyDescent="0.45">
      <c r="A215" t="s">
        <v>809</v>
      </c>
      <c r="B215" t="s">
        <v>37</v>
      </c>
      <c r="C215" t="s">
        <v>810</v>
      </c>
      <c r="D215" t="s">
        <v>811</v>
      </c>
      <c r="E215" t="s">
        <v>199</v>
      </c>
      <c r="G215" t="s">
        <v>812</v>
      </c>
      <c r="H215" t="s">
        <v>41</v>
      </c>
      <c r="I215">
        <v>32.5</v>
      </c>
      <c r="J215">
        <v>83.870967741935488</v>
      </c>
      <c r="K215">
        <f>IFERROR(VLOOKUP(C215,[1]智慧家庭產品價格表.含稅!C:S,17,FALSE),0)</f>
        <v>2</v>
      </c>
      <c r="L215">
        <v>13</v>
      </c>
      <c r="M215">
        <f t="shared" si="27"/>
        <v>97.03</v>
      </c>
      <c r="N215">
        <v>0</v>
      </c>
      <c r="O215">
        <f t="shared" si="28"/>
        <v>3153</v>
      </c>
      <c r="P215">
        <v>52</v>
      </c>
      <c r="Q215">
        <v>315</v>
      </c>
      <c r="R215" s="4">
        <v>1.0429999999999999</v>
      </c>
      <c r="S215" s="2">
        <v>1.177</v>
      </c>
      <c r="T215" s="2">
        <v>1.0780000000000001</v>
      </c>
      <c r="U215" s="2">
        <v>1.6180000000000001</v>
      </c>
      <c r="V215" s="2">
        <v>1.244</v>
      </c>
      <c r="W215" s="2">
        <v>2.0219999999999998</v>
      </c>
      <c r="X215" s="2">
        <v>1.7989999999999999</v>
      </c>
      <c r="Y215">
        <f t="shared" si="29"/>
        <v>3289</v>
      </c>
      <c r="Z215">
        <f t="shared" si="30"/>
        <v>3290</v>
      </c>
      <c r="AA215">
        <f t="shared" si="31"/>
        <v>2659</v>
      </c>
      <c r="AB215">
        <f t="shared" si="32"/>
        <v>2661</v>
      </c>
      <c r="AC215">
        <f t="shared" si="33"/>
        <v>2659</v>
      </c>
      <c r="AD215">
        <f t="shared" si="34"/>
        <v>2660</v>
      </c>
      <c r="AE215">
        <f t="shared" si="35"/>
        <v>2663</v>
      </c>
      <c r="AF215">
        <v>0.85</v>
      </c>
      <c r="AG215">
        <v>0.75</v>
      </c>
      <c r="AH215">
        <v>0.5</v>
      </c>
      <c r="AI215">
        <v>0.65</v>
      </c>
      <c r="AJ215">
        <v>0.4</v>
      </c>
      <c r="AK215">
        <v>0.45</v>
      </c>
    </row>
    <row r="216" spans="1:37" x14ac:dyDescent="0.45">
      <c r="A216" t="s">
        <v>809</v>
      </c>
      <c r="B216" t="s">
        <v>37</v>
      </c>
      <c r="C216" t="s">
        <v>813</v>
      </c>
      <c r="D216" t="s">
        <v>814</v>
      </c>
      <c r="E216" t="s">
        <v>199</v>
      </c>
      <c r="G216" t="s">
        <v>815</v>
      </c>
      <c r="H216" t="s">
        <v>41</v>
      </c>
      <c r="I216">
        <v>32.5</v>
      </c>
      <c r="J216">
        <v>38.787878787878789</v>
      </c>
      <c r="K216">
        <f>IFERROR(VLOOKUP(C216,[1]智慧家庭產品價格表.含稅!C:S,17,FALSE),0)</f>
        <v>2</v>
      </c>
      <c r="L216">
        <v>13</v>
      </c>
      <c r="M216">
        <f t="shared" si="27"/>
        <v>46.09</v>
      </c>
      <c r="N216">
        <v>0</v>
      </c>
      <c r="O216">
        <f t="shared" si="28"/>
        <v>1498</v>
      </c>
      <c r="P216">
        <v>52</v>
      </c>
      <c r="Q216">
        <v>315</v>
      </c>
      <c r="R216" s="4">
        <v>1.069</v>
      </c>
      <c r="S216" s="2">
        <v>1.1759999999999999</v>
      </c>
      <c r="T216" s="2">
        <v>1.0780000000000001</v>
      </c>
      <c r="U216" s="2">
        <v>1.617</v>
      </c>
      <c r="V216" s="2">
        <v>1.244</v>
      </c>
      <c r="W216" s="2">
        <v>2.0219999999999998</v>
      </c>
      <c r="X216" s="2">
        <v>1.7989999999999999</v>
      </c>
      <c r="Y216">
        <f t="shared" si="29"/>
        <v>1601</v>
      </c>
      <c r="Z216">
        <f t="shared" si="30"/>
        <v>1600</v>
      </c>
      <c r="AA216">
        <f t="shared" si="31"/>
        <v>1294</v>
      </c>
      <c r="AB216">
        <f t="shared" si="32"/>
        <v>1294</v>
      </c>
      <c r="AC216">
        <f t="shared" si="33"/>
        <v>1295</v>
      </c>
      <c r="AD216">
        <f t="shared" si="34"/>
        <v>1295</v>
      </c>
      <c r="AE216">
        <f t="shared" si="35"/>
        <v>1296</v>
      </c>
      <c r="AF216">
        <v>0.85</v>
      </c>
      <c r="AG216">
        <v>0.75</v>
      </c>
      <c r="AH216">
        <v>0.5</v>
      </c>
      <c r="AI216">
        <v>0.65</v>
      </c>
      <c r="AJ216">
        <v>0.4</v>
      </c>
      <c r="AK216">
        <v>0.45</v>
      </c>
    </row>
    <row r="217" spans="1:37" x14ac:dyDescent="0.45">
      <c r="A217" t="s">
        <v>816</v>
      </c>
      <c r="B217" t="s">
        <v>37</v>
      </c>
      <c r="C217" t="s">
        <v>817</v>
      </c>
      <c r="D217" t="s">
        <v>818</v>
      </c>
      <c r="E217" t="s">
        <v>81</v>
      </c>
      <c r="F217" t="s">
        <v>819</v>
      </c>
      <c r="H217" t="s">
        <v>70</v>
      </c>
      <c r="I217">
        <v>32.5</v>
      </c>
      <c r="J217">
        <v>0</v>
      </c>
      <c r="K217">
        <f>IFERROR(VLOOKUP(C217,[1]智慧家庭產品價格表.含稅!C:S,17,FALSE),0)</f>
        <v>0</v>
      </c>
      <c r="L217">
        <v>13</v>
      </c>
      <c r="M217">
        <f t="shared" si="27"/>
        <v>0</v>
      </c>
      <c r="N217">
        <v>0</v>
      </c>
      <c r="O217">
        <f t="shared" si="28"/>
        <v>0</v>
      </c>
      <c r="P217">
        <v>0</v>
      </c>
      <c r="Q217">
        <v>0</v>
      </c>
      <c r="R217" s="4">
        <v>1</v>
      </c>
      <c r="S217" s="2">
        <v>0.94099999999999995</v>
      </c>
      <c r="T217" s="2" t="e">
        <v>#DIV/0!</v>
      </c>
      <c r="U217" s="2" t="e">
        <v>#DIV/0!</v>
      </c>
      <c r="V217" s="2" t="e">
        <v>#DIV/0!</v>
      </c>
      <c r="W217" s="2" t="e">
        <v>#DIV/0!</v>
      </c>
      <c r="X217" s="2">
        <v>0.95199999999999996</v>
      </c>
      <c r="Y217">
        <f t="shared" si="29"/>
        <v>0</v>
      </c>
      <c r="Z217">
        <f t="shared" si="30"/>
        <v>0</v>
      </c>
      <c r="AA217" t="e">
        <f t="shared" si="31"/>
        <v>#DIV/0!</v>
      </c>
      <c r="AB217" t="e">
        <f t="shared" si="32"/>
        <v>#DIV/0!</v>
      </c>
      <c r="AC217" t="e">
        <f t="shared" si="33"/>
        <v>#DIV/0!</v>
      </c>
      <c r="AD217" t="e">
        <f t="shared" si="34"/>
        <v>#DIV/0!</v>
      </c>
      <c r="AE217">
        <f t="shared" si="35"/>
        <v>0</v>
      </c>
      <c r="AF217">
        <v>0.85</v>
      </c>
      <c r="AG217">
        <v>0.75</v>
      </c>
      <c r="AH217">
        <v>0.5</v>
      </c>
      <c r="AI217">
        <v>0.65</v>
      </c>
      <c r="AJ217">
        <v>0.4</v>
      </c>
      <c r="AK217">
        <v>0.45</v>
      </c>
    </row>
    <row r="218" spans="1:37" x14ac:dyDescent="0.45">
      <c r="A218" t="s">
        <v>816</v>
      </c>
      <c r="B218" t="s">
        <v>37</v>
      </c>
      <c r="C218" t="s">
        <v>820</v>
      </c>
      <c r="D218" t="s">
        <v>821</v>
      </c>
      <c r="E218" t="s">
        <v>822</v>
      </c>
      <c r="G218" t="s">
        <v>823</v>
      </c>
      <c r="H218" t="s">
        <v>41</v>
      </c>
      <c r="I218">
        <v>32.5</v>
      </c>
      <c r="J218">
        <v>17</v>
      </c>
      <c r="K218">
        <f>IFERROR(VLOOKUP(C218,[1]智慧家庭產品價格表.含稅!C:S,17,FALSE),0)</f>
        <v>1</v>
      </c>
      <c r="L218">
        <v>13</v>
      </c>
      <c r="M218">
        <f t="shared" si="27"/>
        <v>20.34</v>
      </c>
      <c r="N218">
        <v>0</v>
      </c>
      <c r="O218">
        <f t="shared" si="28"/>
        <v>661</v>
      </c>
      <c r="P218">
        <v>0</v>
      </c>
      <c r="Q218">
        <v>0</v>
      </c>
      <c r="R218" s="4">
        <v>1.081</v>
      </c>
      <c r="S218" s="2">
        <v>1.1759999999999999</v>
      </c>
      <c r="T218" s="2">
        <v>1.079</v>
      </c>
      <c r="U218" s="2">
        <v>1.6180000000000001</v>
      </c>
      <c r="V218" s="2">
        <v>1.244</v>
      </c>
      <c r="W218" s="2">
        <v>2.0219999999999998</v>
      </c>
      <c r="X218" s="2">
        <v>1.798</v>
      </c>
      <c r="Y218">
        <f t="shared" si="29"/>
        <v>715</v>
      </c>
      <c r="Z218">
        <f t="shared" si="30"/>
        <v>715</v>
      </c>
      <c r="AA218">
        <f t="shared" si="31"/>
        <v>579</v>
      </c>
      <c r="AB218">
        <f t="shared" si="32"/>
        <v>578</v>
      </c>
      <c r="AC218">
        <f t="shared" si="33"/>
        <v>578</v>
      </c>
      <c r="AD218">
        <f t="shared" si="34"/>
        <v>578</v>
      </c>
      <c r="AE218">
        <f t="shared" si="35"/>
        <v>579</v>
      </c>
      <c r="AF218">
        <v>0.85</v>
      </c>
      <c r="AG218">
        <v>0.75</v>
      </c>
      <c r="AH218">
        <v>0.5</v>
      </c>
      <c r="AI218">
        <v>0.65</v>
      </c>
      <c r="AJ218">
        <v>0.4</v>
      </c>
      <c r="AK218">
        <v>0.45</v>
      </c>
    </row>
    <row r="219" spans="1:37" x14ac:dyDescent="0.45">
      <c r="A219" t="s">
        <v>816</v>
      </c>
      <c r="B219" t="s">
        <v>37</v>
      </c>
      <c r="C219" t="s">
        <v>824</v>
      </c>
      <c r="D219" t="s">
        <v>825</v>
      </c>
      <c r="E219" t="s">
        <v>822</v>
      </c>
      <c r="G219" t="s">
        <v>826</v>
      </c>
      <c r="H219" t="s">
        <v>41</v>
      </c>
      <c r="I219">
        <v>32.5</v>
      </c>
      <c r="J219">
        <v>11</v>
      </c>
      <c r="K219">
        <f>IFERROR(VLOOKUP(C219,[1]智慧家庭產品價格表.含稅!C:S,17,FALSE),0)</f>
        <v>1</v>
      </c>
      <c r="L219">
        <v>13</v>
      </c>
      <c r="M219">
        <f t="shared" si="27"/>
        <v>13.56</v>
      </c>
      <c r="N219">
        <v>0</v>
      </c>
      <c r="O219">
        <f t="shared" si="28"/>
        <v>441</v>
      </c>
      <c r="P219">
        <v>0</v>
      </c>
      <c r="Q219">
        <v>0</v>
      </c>
      <c r="R219" s="4">
        <v>1.0369999999999999</v>
      </c>
      <c r="S219" s="2">
        <v>1.1759999999999999</v>
      </c>
      <c r="T219" s="2">
        <v>1.079</v>
      </c>
      <c r="U219" s="2">
        <v>1.6180000000000001</v>
      </c>
      <c r="V219" s="2">
        <v>1.2450000000000001</v>
      </c>
      <c r="W219" s="2">
        <v>2.0230000000000001</v>
      </c>
      <c r="X219" s="2">
        <v>1.7989999999999999</v>
      </c>
      <c r="Y219">
        <f t="shared" si="29"/>
        <v>457</v>
      </c>
      <c r="Z219">
        <f t="shared" si="30"/>
        <v>457</v>
      </c>
      <c r="AA219">
        <f t="shared" si="31"/>
        <v>370</v>
      </c>
      <c r="AB219">
        <f t="shared" si="32"/>
        <v>370</v>
      </c>
      <c r="AC219">
        <f t="shared" si="33"/>
        <v>370</v>
      </c>
      <c r="AD219">
        <f t="shared" si="34"/>
        <v>370</v>
      </c>
      <c r="AE219">
        <f t="shared" si="35"/>
        <v>370</v>
      </c>
      <c r="AF219">
        <v>0.85</v>
      </c>
      <c r="AG219">
        <v>0.75</v>
      </c>
      <c r="AH219">
        <v>0.5</v>
      </c>
      <c r="AI219">
        <v>0.65</v>
      </c>
      <c r="AJ219">
        <v>0.4</v>
      </c>
      <c r="AK219">
        <v>0.45</v>
      </c>
    </row>
    <row r="220" spans="1:37" x14ac:dyDescent="0.45">
      <c r="A220" t="s">
        <v>816</v>
      </c>
      <c r="B220" t="s">
        <v>37</v>
      </c>
      <c r="C220" t="s">
        <v>827</v>
      </c>
      <c r="D220" t="s">
        <v>828</v>
      </c>
      <c r="E220" t="s">
        <v>81</v>
      </c>
      <c r="F220" t="s">
        <v>829</v>
      </c>
      <c r="H220" t="s">
        <v>70</v>
      </c>
      <c r="I220">
        <v>32.5</v>
      </c>
      <c r="J220">
        <v>0</v>
      </c>
      <c r="K220">
        <f>IFERROR(VLOOKUP(C220,[1]智慧家庭產品價格表.含稅!C:S,17,FALSE),0)</f>
        <v>0</v>
      </c>
      <c r="L220">
        <v>13</v>
      </c>
      <c r="M220">
        <f t="shared" si="27"/>
        <v>0</v>
      </c>
      <c r="N220">
        <v>0</v>
      </c>
      <c r="O220">
        <f t="shared" si="28"/>
        <v>0</v>
      </c>
      <c r="P220">
        <v>500</v>
      </c>
      <c r="Q220">
        <v>0</v>
      </c>
      <c r="R220" s="4">
        <v>1</v>
      </c>
      <c r="S220" s="2">
        <v>0.94199999999999995</v>
      </c>
      <c r="T220" s="2" t="e">
        <v>#DIV/0!</v>
      </c>
      <c r="U220" s="2" t="e">
        <v>#DIV/0!</v>
      </c>
      <c r="V220" s="2" t="e">
        <v>#DIV/0!</v>
      </c>
      <c r="W220" s="2" t="e">
        <v>#DIV/0!</v>
      </c>
      <c r="X220" s="2">
        <v>0.95099999999999996</v>
      </c>
      <c r="Y220">
        <f t="shared" si="29"/>
        <v>0</v>
      </c>
      <c r="Z220">
        <f t="shared" si="30"/>
        <v>0</v>
      </c>
      <c r="AA220" t="e">
        <f t="shared" si="31"/>
        <v>#DIV/0!</v>
      </c>
      <c r="AB220" t="e">
        <f t="shared" si="32"/>
        <v>#DIV/0!</v>
      </c>
      <c r="AC220" t="e">
        <f t="shared" si="33"/>
        <v>#DIV/0!</v>
      </c>
      <c r="AD220" t="e">
        <f t="shared" si="34"/>
        <v>#DIV/0!</v>
      </c>
      <c r="AE220">
        <f t="shared" si="35"/>
        <v>0</v>
      </c>
      <c r="AF220">
        <v>0.85</v>
      </c>
      <c r="AG220">
        <v>0.75</v>
      </c>
      <c r="AH220">
        <v>0.5</v>
      </c>
      <c r="AI220">
        <v>0.65</v>
      </c>
      <c r="AJ220">
        <v>0.4</v>
      </c>
      <c r="AK220">
        <v>0.45</v>
      </c>
    </row>
    <row r="221" spans="1:37" x14ac:dyDescent="0.45">
      <c r="A221" t="s">
        <v>816</v>
      </c>
      <c r="B221" t="s">
        <v>37</v>
      </c>
      <c r="C221" t="s">
        <v>830</v>
      </c>
      <c r="D221" t="s">
        <v>831</v>
      </c>
      <c r="E221" t="s">
        <v>81</v>
      </c>
      <c r="F221" t="s">
        <v>832</v>
      </c>
      <c r="H221" t="s">
        <v>70</v>
      </c>
      <c r="I221">
        <v>32.5</v>
      </c>
      <c r="J221">
        <v>0</v>
      </c>
      <c r="K221">
        <f>IFERROR(VLOOKUP(C221,[1]智慧家庭產品價格表.含稅!C:S,17,FALSE),0)</f>
        <v>0</v>
      </c>
      <c r="L221">
        <v>13</v>
      </c>
      <c r="M221">
        <f t="shared" si="27"/>
        <v>0</v>
      </c>
      <c r="N221">
        <v>0</v>
      </c>
      <c r="O221">
        <f t="shared" si="28"/>
        <v>0</v>
      </c>
      <c r="P221">
        <v>500</v>
      </c>
      <c r="Q221">
        <v>0</v>
      </c>
      <c r="R221" s="4">
        <v>1</v>
      </c>
      <c r="S221" s="2">
        <v>0.94099999999999995</v>
      </c>
      <c r="T221" s="2" t="e">
        <v>#DIV/0!</v>
      </c>
      <c r="U221" s="2" t="e">
        <v>#DIV/0!</v>
      </c>
      <c r="V221" s="2" t="e">
        <v>#DIV/0!</v>
      </c>
      <c r="W221" s="2" t="e">
        <v>#DIV/0!</v>
      </c>
      <c r="X221" s="2">
        <v>0.95299999999999996</v>
      </c>
      <c r="Y221">
        <f t="shared" si="29"/>
        <v>0</v>
      </c>
      <c r="Z221">
        <f t="shared" si="30"/>
        <v>0</v>
      </c>
      <c r="AA221" t="e">
        <f t="shared" si="31"/>
        <v>#DIV/0!</v>
      </c>
      <c r="AB221" t="e">
        <f t="shared" si="32"/>
        <v>#DIV/0!</v>
      </c>
      <c r="AC221" t="e">
        <f t="shared" si="33"/>
        <v>#DIV/0!</v>
      </c>
      <c r="AD221" t="e">
        <f t="shared" si="34"/>
        <v>#DIV/0!</v>
      </c>
      <c r="AE221">
        <f t="shared" si="35"/>
        <v>0</v>
      </c>
      <c r="AF221">
        <v>0.85</v>
      </c>
      <c r="AG221">
        <v>0.75</v>
      </c>
      <c r="AH221">
        <v>0.5</v>
      </c>
      <c r="AI221">
        <v>0.65</v>
      </c>
      <c r="AJ221">
        <v>0.4</v>
      </c>
      <c r="AK221">
        <v>0.45</v>
      </c>
    </row>
    <row r="222" spans="1:37" x14ac:dyDescent="0.45">
      <c r="A222" t="s">
        <v>816</v>
      </c>
      <c r="B222" t="s">
        <v>37</v>
      </c>
      <c r="C222" t="s">
        <v>833</v>
      </c>
      <c r="D222" t="s">
        <v>834</v>
      </c>
      <c r="E222" t="s">
        <v>735</v>
      </c>
      <c r="F222" t="s">
        <v>835</v>
      </c>
      <c r="H222" t="s">
        <v>70</v>
      </c>
      <c r="I222">
        <v>32.5</v>
      </c>
      <c r="J222">
        <v>0</v>
      </c>
      <c r="K222">
        <f>IFERROR(VLOOKUP(C222,[1]智慧家庭產品價格表.含稅!C:S,17,FALSE),0)</f>
        <v>0</v>
      </c>
      <c r="L222">
        <v>13</v>
      </c>
      <c r="M222">
        <f t="shared" si="27"/>
        <v>0</v>
      </c>
      <c r="N222">
        <v>0</v>
      </c>
      <c r="O222">
        <f t="shared" si="28"/>
        <v>0</v>
      </c>
      <c r="P222">
        <v>300</v>
      </c>
      <c r="Q222">
        <v>0</v>
      </c>
      <c r="R222" s="4">
        <v>1</v>
      </c>
      <c r="S222" s="2">
        <v>0.94199999999999995</v>
      </c>
      <c r="T222" s="2" t="e">
        <v>#DIV/0!</v>
      </c>
      <c r="U222" s="2" t="e">
        <v>#DIV/0!</v>
      </c>
      <c r="V222" s="2" t="e">
        <v>#DIV/0!</v>
      </c>
      <c r="W222" s="2" t="e">
        <v>#DIV/0!</v>
      </c>
      <c r="X222" s="2">
        <v>0.95099999999999996</v>
      </c>
      <c r="Y222">
        <f t="shared" si="29"/>
        <v>0</v>
      </c>
      <c r="Z222">
        <f t="shared" si="30"/>
        <v>0</v>
      </c>
      <c r="AA222" t="e">
        <f t="shared" si="31"/>
        <v>#DIV/0!</v>
      </c>
      <c r="AB222" t="e">
        <f t="shared" si="32"/>
        <v>#DIV/0!</v>
      </c>
      <c r="AC222" t="e">
        <f t="shared" si="33"/>
        <v>#DIV/0!</v>
      </c>
      <c r="AD222" t="e">
        <f t="shared" si="34"/>
        <v>#DIV/0!</v>
      </c>
      <c r="AE222">
        <f t="shared" si="35"/>
        <v>0</v>
      </c>
      <c r="AF222">
        <v>0.85</v>
      </c>
      <c r="AG222">
        <v>0.75</v>
      </c>
      <c r="AH222">
        <v>0.5</v>
      </c>
      <c r="AI222">
        <v>0.65</v>
      </c>
      <c r="AJ222">
        <v>0.4</v>
      </c>
      <c r="AK222">
        <v>0.45</v>
      </c>
    </row>
    <row r="223" spans="1:37" x14ac:dyDescent="0.45">
      <c r="A223" t="s">
        <v>816</v>
      </c>
      <c r="B223" t="s">
        <v>37</v>
      </c>
      <c r="C223" t="s">
        <v>836</v>
      </c>
      <c r="D223" t="s">
        <v>837</v>
      </c>
      <c r="E223" t="s">
        <v>735</v>
      </c>
      <c r="F223" t="s">
        <v>838</v>
      </c>
      <c r="H223" t="s">
        <v>70</v>
      </c>
      <c r="I223">
        <v>32.5</v>
      </c>
      <c r="J223">
        <v>0</v>
      </c>
      <c r="K223">
        <f>IFERROR(VLOOKUP(C223,[1]智慧家庭產品價格表.含稅!C:S,17,FALSE),0)</f>
        <v>0</v>
      </c>
      <c r="L223">
        <v>13</v>
      </c>
      <c r="M223">
        <f t="shared" si="27"/>
        <v>0</v>
      </c>
      <c r="N223">
        <v>0</v>
      </c>
      <c r="O223">
        <f t="shared" si="28"/>
        <v>0</v>
      </c>
      <c r="P223">
        <v>300</v>
      </c>
      <c r="Q223">
        <v>0</v>
      </c>
      <c r="R223" s="4">
        <v>1</v>
      </c>
      <c r="S223" s="2">
        <v>0.94199999999999995</v>
      </c>
      <c r="T223" s="2" t="e">
        <v>#DIV/0!</v>
      </c>
      <c r="U223" s="2" t="e">
        <v>#DIV/0!</v>
      </c>
      <c r="V223" s="2" t="e">
        <v>#DIV/0!</v>
      </c>
      <c r="W223" s="2" t="e">
        <v>#DIV/0!</v>
      </c>
      <c r="X223" s="2">
        <v>0.95099999999999996</v>
      </c>
      <c r="Y223">
        <f t="shared" si="29"/>
        <v>0</v>
      </c>
      <c r="Z223">
        <f t="shared" si="30"/>
        <v>0</v>
      </c>
      <c r="AA223" t="e">
        <f t="shared" si="31"/>
        <v>#DIV/0!</v>
      </c>
      <c r="AB223" t="e">
        <f t="shared" si="32"/>
        <v>#DIV/0!</v>
      </c>
      <c r="AC223" t="e">
        <f t="shared" si="33"/>
        <v>#DIV/0!</v>
      </c>
      <c r="AD223" t="e">
        <f t="shared" si="34"/>
        <v>#DIV/0!</v>
      </c>
      <c r="AE223">
        <f t="shared" si="35"/>
        <v>0</v>
      </c>
      <c r="AF223">
        <v>0.85</v>
      </c>
      <c r="AG223">
        <v>0.75</v>
      </c>
      <c r="AH223">
        <v>0.5</v>
      </c>
      <c r="AI223">
        <v>0.65</v>
      </c>
      <c r="AJ223">
        <v>0.4</v>
      </c>
      <c r="AK223">
        <v>0.45</v>
      </c>
    </row>
    <row r="224" spans="1:37" x14ac:dyDescent="0.45">
      <c r="A224" t="s">
        <v>839</v>
      </c>
      <c r="B224" t="s">
        <v>37</v>
      </c>
      <c r="C224" t="s">
        <v>840</v>
      </c>
      <c r="D224" t="s">
        <v>841</v>
      </c>
      <c r="E224" t="s">
        <v>38</v>
      </c>
      <c r="F224" t="s">
        <v>842</v>
      </c>
      <c r="G224" t="s">
        <v>843</v>
      </c>
      <c r="H224" t="s">
        <v>41</v>
      </c>
      <c r="I224">
        <v>32.5</v>
      </c>
      <c r="J224">
        <v>13</v>
      </c>
      <c r="K224">
        <f>IFERROR(VLOOKUP(C224,[1]智慧家庭產品價格表.含稅!C:S,17,FALSE),0)</f>
        <v>1</v>
      </c>
      <c r="L224">
        <v>13</v>
      </c>
      <c r="M224">
        <f t="shared" si="27"/>
        <v>15.82</v>
      </c>
      <c r="N224">
        <v>100</v>
      </c>
      <c r="O224">
        <f t="shared" si="28"/>
        <v>614</v>
      </c>
      <c r="P224">
        <v>52</v>
      </c>
      <c r="Q224">
        <v>315</v>
      </c>
      <c r="R224" s="4">
        <v>3.9609999999999999</v>
      </c>
      <c r="S224" s="2">
        <v>0.94099999999999995</v>
      </c>
      <c r="T224" s="2">
        <v>0.95199999999999996</v>
      </c>
      <c r="U224" s="2">
        <v>0.95199999999999996</v>
      </c>
      <c r="V224" s="2">
        <v>0.95299999999999996</v>
      </c>
      <c r="W224" s="2">
        <v>0.95299999999999996</v>
      </c>
      <c r="X224" s="2">
        <v>0.95199999999999996</v>
      </c>
      <c r="Y224">
        <f t="shared" si="29"/>
        <v>2432</v>
      </c>
      <c r="Z224">
        <f t="shared" si="30"/>
        <v>1945</v>
      </c>
      <c r="AA224">
        <f t="shared" si="31"/>
        <v>1736</v>
      </c>
      <c r="AB224">
        <f t="shared" si="32"/>
        <v>1158</v>
      </c>
      <c r="AC224">
        <f t="shared" si="33"/>
        <v>1507</v>
      </c>
      <c r="AD224">
        <f t="shared" si="34"/>
        <v>927</v>
      </c>
      <c r="AE224">
        <f t="shared" si="35"/>
        <v>1042</v>
      </c>
      <c r="AF224">
        <v>0.85</v>
      </c>
      <c r="AG224">
        <v>0.75</v>
      </c>
      <c r="AH224">
        <v>0.5</v>
      </c>
      <c r="AI224">
        <v>0.65</v>
      </c>
      <c r="AJ224">
        <v>0.4</v>
      </c>
      <c r="AK224">
        <v>0.45</v>
      </c>
    </row>
    <row r="225" spans="1:38" x14ac:dyDescent="0.45">
      <c r="A225" t="s">
        <v>839</v>
      </c>
      <c r="B225" t="s">
        <v>37</v>
      </c>
      <c r="C225" t="s">
        <v>844</v>
      </c>
      <c r="D225" t="s">
        <v>845</v>
      </c>
      <c r="E225" t="s">
        <v>38</v>
      </c>
      <c r="F225" t="s">
        <v>846</v>
      </c>
      <c r="G225" t="s">
        <v>847</v>
      </c>
      <c r="H225" t="s">
        <v>41</v>
      </c>
      <c r="I225">
        <v>32.5</v>
      </c>
      <c r="J225">
        <v>17</v>
      </c>
      <c r="K225">
        <f>IFERROR(VLOOKUP(C225,[1]智慧家庭產品價格表.含稅!C:S,17,FALSE),0)</f>
        <v>1</v>
      </c>
      <c r="L225">
        <v>13</v>
      </c>
      <c r="M225">
        <f t="shared" si="27"/>
        <v>20.34</v>
      </c>
      <c r="N225">
        <v>100</v>
      </c>
      <c r="O225">
        <f t="shared" si="28"/>
        <v>761</v>
      </c>
      <c r="P225">
        <v>52</v>
      </c>
      <c r="Q225">
        <v>315</v>
      </c>
      <c r="R225" s="4">
        <v>3.1960000000000002</v>
      </c>
      <c r="S225" s="2">
        <v>0.95299999999999996</v>
      </c>
      <c r="T225" s="2">
        <v>0.96499999999999997</v>
      </c>
      <c r="U225" s="2">
        <v>0.97099999999999997</v>
      </c>
      <c r="V225" s="2">
        <v>0.96699999999999997</v>
      </c>
      <c r="W225" s="2">
        <v>0.97599999999999998</v>
      </c>
      <c r="X225" s="2">
        <v>0.97399999999999998</v>
      </c>
      <c r="Y225">
        <f t="shared" si="29"/>
        <v>2432</v>
      </c>
      <c r="Z225">
        <f t="shared" si="30"/>
        <v>1970</v>
      </c>
      <c r="AA225">
        <f t="shared" si="31"/>
        <v>1760</v>
      </c>
      <c r="AB225">
        <f t="shared" si="32"/>
        <v>1181</v>
      </c>
      <c r="AC225">
        <f t="shared" si="33"/>
        <v>1529</v>
      </c>
      <c r="AD225">
        <f t="shared" si="34"/>
        <v>949</v>
      </c>
      <c r="AE225">
        <f t="shared" si="35"/>
        <v>1066</v>
      </c>
      <c r="AF225">
        <v>0.85</v>
      </c>
      <c r="AG225">
        <v>0.75</v>
      </c>
      <c r="AH225">
        <v>0.5</v>
      </c>
      <c r="AI225">
        <v>0.65</v>
      </c>
      <c r="AJ225">
        <v>0.4</v>
      </c>
      <c r="AK225">
        <v>0.45</v>
      </c>
    </row>
    <row r="226" spans="1:38" x14ac:dyDescent="0.45">
      <c r="A226" t="s">
        <v>839</v>
      </c>
      <c r="B226" t="s">
        <v>37</v>
      </c>
      <c r="C226" t="s">
        <v>848</v>
      </c>
      <c r="D226" t="s">
        <v>849</v>
      </c>
      <c r="E226" t="s">
        <v>38</v>
      </c>
      <c r="F226" t="s">
        <v>850</v>
      </c>
      <c r="G226" t="s">
        <v>851</v>
      </c>
      <c r="H226" t="s">
        <v>41</v>
      </c>
      <c r="I226">
        <v>32.5</v>
      </c>
      <c r="J226">
        <v>12</v>
      </c>
      <c r="K226">
        <f>IFERROR(VLOOKUP(C226,[1]智慧家庭產品價格表.含稅!C:S,17,FALSE),0)</f>
        <v>1</v>
      </c>
      <c r="L226">
        <v>13</v>
      </c>
      <c r="M226">
        <f t="shared" si="27"/>
        <v>14.69</v>
      </c>
      <c r="N226">
        <v>100</v>
      </c>
      <c r="O226">
        <f t="shared" si="28"/>
        <v>577</v>
      </c>
      <c r="P226">
        <v>52</v>
      </c>
      <c r="Q226">
        <v>315</v>
      </c>
      <c r="R226" s="4">
        <v>3.9089999999999998</v>
      </c>
      <c r="S226" s="2">
        <v>0.94099999999999995</v>
      </c>
      <c r="T226" s="2">
        <v>0.95199999999999996</v>
      </c>
      <c r="U226" s="2">
        <v>0.95199999999999996</v>
      </c>
      <c r="V226" s="2">
        <v>0.95199999999999996</v>
      </c>
      <c r="W226" s="2">
        <v>0.95199999999999996</v>
      </c>
      <c r="X226" s="2">
        <v>0.95199999999999996</v>
      </c>
      <c r="Y226">
        <f t="shared" si="29"/>
        <v>2255</v>
      </c>
      <c r="Z226">
        <f t="shared" si="30"/>
        <v>1804</v>
      </c>
      <c r="AA226">
        <f t="shared" si="31"/>
        <v>1610</v>
      </c>
      <c r="AB226">
        <f t="shared" si="32"/>
        <v>1073</v>
      </c>
      <c r="AC226">
        <f t="shared" si="33"/>
        <v>1395</v>
      </c>
      <c r="AD226">
        <f t="shared" si="34"/>
        <v>859</v>
      </c>
      <c r="AE226">
        <f t="shared" si="35"/>
        <v>966</v>
      </c>
      <c r="AF226">
        <v>0.85</v>
      </c>
      <c r="AG226">
        <v>0.75</v>
      </c>
      <c r="AH226">
        <v>0.5</v>
      </c>
      <c r="AI226">
        <v>0.65</v>
      </c>
      <c r="AJ226">
        <v>0.4</v>
      </c>
      <c r="AK226">
        <v>0.45</v>
      </c>
    </row>
    <row r="227" spans="1:38" x14ac:dyDescent="0.45">
      <c r="A227" t="s">
        <v>852</v>
      </c>
      <c r="B227" t="s">
        <v>37</v>
      </c>
      <c r="C227" t="s">
        <v>853</v>
      </c>
      <c r="D227" t="s">
        <v>854</v>
      </c>
      <c r="E227" t="s">
        <v>38</v>
      </c>
      <c r="G227" t="s">
        <v>855</v>
      </c>
      <c r="H227" t="s">
        <v>41</v>
      </c>
      <c r="I227">
        <v>32.5</v>
      </c>
      <c r="J227">
        <v>9</v>
      </c>
      <c r="K227">
        <f>IFERROR(VLOOKUP(C227,[1]智慧家庭產品價格表.含稅!C:S,17,FALSE),0)</f>
        <v>2</v>
      </c>
      <c r="L227">
        <v>13</v>
      </c>
      <c r="M227">
        <f t="shared" si="27"/>
        <v>12.43</v>
      </c>
      <c r="N227">
        <v>20</v>
      </c>
      <c r="O227">
        <f t="shared" si="28"/>
        <v>424</v>
      </c>
      <c r="P227">
        <v>262</v>
      </c>
      <c r="Q227">
        <v>0</v>
      </c>
      <c r="R227" s="4">
        <v>0.84199999999999997</v>
      </c>
      <c r="S227" s="2">
        <v>1.1779999999999999</v>
      </c>
      <c r="T227" s="2">
        <v>1.079</v>
      </c>
      <c r="U227" s="2">
        <v>1.619</v>
      </c>
      <c r="V227" s="2">
        <v>1.2450000000000001</v>
      </c>
      <c r="W227" s="2">
        <v>2.024</v>
      </c>
      <c r="X227" s="2">
        <v>1.8009999999999999</v>
      </c>
      <c r="Y227">
        <f t="shared" si="29"/>
        <v>357</v>
      </c>
      <c r="Z227">
        <f t="shared" si="30"/>
        <v>357</v>
      </c>
      <c r="AA227">
        <f t="shared" si="31"/>
        <v>289</v>
      </c>
      <c r="AB227">
        <f t="shared" si="32"/>
        <v>289</v>
      </c>
      <c r="AC227">
        <f t="shared" si="33"/>
        <v>289</v>
      </c>
      <c r="AD227">
        <f t="shared" si="34"/>
        <v>289</v>
      </c>
      <c r="AE227">
        <f t="shared" si="35"/>
        <v>289</v>
      </c>
      <c r="AF227">
        <v>0.85</v>
      </c>
      <c r="AG227">
        <v>0.75</v>
      </c>
      <c r="AH227">
        <v>0.5</v>
      </c>
      <c r="AI227">
        <v>0.65</v>
      </c>
      <c r="AJ227">
        <v>0.4</v>
      </c>
      <c r="AK227">
        <v>0.45</v>
      </c>
    </row>
    <row r="228" spans="1:38" x14ac:dyDescent="0.45">
      <c r="A228" t="s">
        <v>852</v>
      </c>
      <c r="B228" t="s">
        <v>37</v>
      </c>
      <c r="C228" t="s">
        <v>856</v>
      </c>
      <c r="D228" t="s">
        <v>857</v>
      </c>
      <c r="E228" t="s">
        <v>38</v>
      </c>
      <c r="G228" t="s">
        <v>858</v>
      </c>
      <c r="H228" t="s">
        <v>41</v>
      </c>
      <c r="I228">
        <v>32.5</v>
      </c>
      <c r="J228">
        <v>9</v>
      </c>
      <c r="K228">
        <f>IFERROR(VLOOKUP(C228,[1]智慧家庭產品價格表.含稅!C:S,17,FALSE),0)</f>
        <v>2</v>
      </c>
      <c r="L228">
        <v>13</v>
      </c>
      <c r="M228">
        <f t="shared" si="27"/>
        <v>12.43</v>
      </c>
      <c r="N228">
        <v>20</v>
      </c>
      <c r="O228">
        <f t="shared" si="28"/>
        <v>424</v>
      </c>
      <c r="P228">
        <v>262</v>
      </c>
      <c r="Q228">
        <v>0</v>
      </c>
      <c r="R228" s="4">
        <v>0.84199999999999997</v>
      </c>
      <c r="S228" s="2">
        <v>1.1779999999999999</v>
      </c>
      <c r="T228" s="2">
        <v>1.079</v>
      </c>
      <c r="U228" s="2">
        <v>1.619</v>
      </c>
      <c r="V228" s="2">
        <v>1.2450000000000001</v>
      </c>
      <c r="W228" s="2">
        <v>2.024</v>
      </c>
      <c r="X228" s="2">
        <v>1.8009999999999999</v>
      </c>
      <c r="Y228">
        <f t="shared" si="29"/>
        <v>357</v>
      </c>
      <c r="Z228">
        <f t="shared" si="30"/>
        <v>357</v>
      </c>
      <c r="AA228">
        <f t="shared" si="31"/>
        <v>289</v>
      </c>
      <c r="AB228">
        <f t="shared" si="32"/>
        <v>289</v>
      </c>
      <c r="AC228">
        <f t="shared" si="33"/>
        <v>289</v>
      </c>
      <c r="AD228">
        <f t="shared" si="34"/>
        <v>289</v>
      </c>
      <c r="AE228">
        <f t="shared" si="35"/>
        <v>289</v>
      </c>
      <c r="AF228">
        <v>0.85</v>
      </c>
      <c r="AG228">
        <v>0.75</v>
      </c>
      <c r="AH228">
        <v>0.5</v>
      </c>
      <c r="AI228">
        <v>0.65</v>
      </c>
      <c r="AJ228">
        <v>0.4</v>
      </c>
      <c r="AK228">
        <v>0.45</v>
      </c>
    </row>
    <row r="229" spans="1:38" x14ac:dyDescent="0.45">
      <c r="A229" t="s">
        <v>852</v>
      </c>
      <c r="B229" t="s">
        <v>37</v>
      </c>
      <c r="C229" t="s">
        <v>859</v>
      </c>
      <c r="D229" t="s">
        <v>860</v>
      </c>
      <c r="E229" t="s">
        <v>38</v>
      </c>
      <c r="G229" t="s">
        <v>861</v>
      </c>
      <c r="H229" t="s">
        <v>41</v>
      </c>
      <c r="I229">
        <v>32.5</v>
      </c>
      <c r="J229">
        <v>11</v>
      </c>
      <c r="K229">
        <f>IFERROR(VLOOKUP(C229,[1]智慧家庭產品價格表.含稅!C:S,17,FALSE),0)</f>
        <v>2</v>
      </c>
      <c r="L229">
        <v>13</v>
      </c>
      <c r="M229">
        <f t="shared" si="27"/>
        <v>14.69</v>
      </c>
      <c r="N229">
        <v>20</v>
      </c>
      <c r="O229">
        <f t="shared" si="28"/>
        <v>497</v>
      </c>
      <c r="P229">
        <v>262</v>
      </c>
      <c r="Q229">
        <v>0</v>
      </c>
      <c r="R229" s="4">
        <v>1.5580000000000001</v>
      </c>
      <c r="S229" s="2">
        <v>1.177</v>
      </c>
      <c r="T229" s="2">
        <v>1.0780000000000001</v>
      </c>
      <c r="U229" s="2">
        <v>1.617</v>
      </c>
      <c r="V229" s="2">
        <v>1.244</v>
      </c>
      <c r="W229" s="2">
        <v>2.0209999999999999</v>
      </c>
      <c r="X229" s="2">
        <v>1.798</v>
      </c>
      <c r="Y229">
        <f t="shared" si="29"/>
        <v>774</v>
      </c>
      <c r="Z229">
        <f t="shared" si="30"/>
        <v>774</v>
      </c>
      <c r="AA229">
        <f t="shared" si="31"/>
        <v>626</v>
      </c>
      <c r="AB229">
        <f t="shared" si="32"/>
        <v>626</v>
      </c>
      <c r="AC229">
        <f t="shared" si="33"/>
        <v>626</v>
      </c>
      <c r="AD229">
        <f t="shared" si="34"/>
        <v>626</v>
      </c>
      <c r="AE229">
        <f t="shared" si="35"/>
        <v>626</v>
      </c>
      <c r="AF229">
        <v>0.85</v>
      </c>
      <c r="AG229">
        <v>0.75</v>
      </c>
      <c r="AH229">
        <v>0.5</v>
      </c>
      <c r="AI229">
        <v>0.65</v>
      </c>
      <c r="AJ229">
        <v>0.4</v>
      </c>
      <c r="AK229">
        <v>0.45</v>
      </c>
    </row>
    <row r="230" spans="1:38" x14ac:dyDescent="0.45">
      <c r="A230" t="s">
        <v>852</v>
      </c>
      <c r="B230" t="s">
        <v>37</v>
      </c>
      <c r="C230" t="s">
        <v>862</v>
      </c>
      <c r="D230" t="s">
        <v>863</v>
      </c>
      <c r="E230" t="s">
        <v>38</v>
      </c>
      <c r="G230" t="s">
        <v>864</v>
      </c>
      <c r="H230" t="s">
        <v>41</v>
      </c>
      <c r="I230">
        <v>32.5</v>
      </c>
      <c r="J230">
        <v>11</v>
      </c>
      <c r="K230">
        <f>IFERROR(VLOOKUP(C230,[1]智慧家庭產品價格表.含稅!C:S,17,FALSE),0)</f>
        <v>2</v>
      </c>
      <c r="L230">
        <v>13</v>
      </c>
      <c r="M230">
        <f t="shared" si="27"/>
        <v>14.69</v>
      </c>
      <c r="N230">
        <v>20</v>
      </c>
      <c r="O230">
        <f t="shared" si="28"/>
        <v>497</v>
      </c>
      <c r="P230">
        <v>262</v>
      </c>
      <c r="Q230">
        <v>0</v>
      </c>
      <c r="R230" s="4">
        <v>1.6519999999999999</v>
      </c>
      <c r="S230" s="2">
        <v>1.1759999999999999</v>
      </c>
      <c r="T230" s="2">
        <v>1.08</v>
      </c>
      <c r="U230" s="2">
        <v>1.62</v>
      </c>
      <c r="V230" s="2">
        <v>1.246</v>
      </c>
      <c r="W230" s="2">
        <v>2.0249999999999999</v>
      </c>
      <c r="X230" s="2">
        <v>1.7989999999999999</v>
      </c>
      <c r="Y230">
        <f t="shared" si="29"/>
        <v>821</v>
      </c>
      <c r="Z230">
        <f t="shared" si="30"/>
        <v>821</v>
      </c>
      <c r="AA230">
        <f t="shared" si="31"/>
        <v>665</v>
      </c>
      <c r="AB230">
        <f t="shared" si="32"/>
        <v>665</v>
      </c>
      <c r="AC230">
        <f t="shared" si="33"/>
        <v>665</v>
      </c>
      <c r="AD230">
        <f t="shared" si="34"/>
        <v>665</v>
      </c>
      <c r="AE230">
        <f t="shared" si="35"/>
        <v>665</v>
      </c>
      <c r="AF230">
        <v>0.85</v>
      </c>
      <c r="AG230">
        <v>0.75</v>
      </c>
      <c r="AH230">
        <v>0.5</v>
      </c>
      <c r="AI230">
        <v>0.65</v>
      </c>
      <c r="AJ230">
        <v>0.4</v>
      </c>
      <c r="AK230">
        <v>0.45</v>
      </c>
    </row>
    <row r="231" spans="1:38" x14ac:dyDescent="0.45">
      <c r="A231" t="s">
        <v>865</v>
      </c>
      <c r="B231" t="s">
        <v>37</v>
      </c>
      <c r="C231" t="s">
        <v>866</v>
      </c>
      <c r="D231" t="s">
        <v>867</v>
      </c>
      <c r="E231" t="s">
        <v>81</v>
      </c>
      <c r="F231" t="s">
        <v>868</v>
      </c>
      <c r="G231" t="s">
        <v>869</v>
      </c>
      <c r="H231" t="s">
        <v>41</v>
      </c>
      <c r="I231">
        <v>32.5</v>
      </c>
      <c r="J231">
        <v>67</v>
      </c>
      <c r="K231">
        <f>IFERROR(VLOOKUP(C231,[1]智慧家庭產品價格表.含稅!C:S,17,FALSE),0)</f>
        <v>7</v>
      </c>
      <c r="L231">
        <v>13</v>
      </c>
      <c r="M231">
        <f t="shared" si="27"/>
        <v>83.62</v>
      </c>
      <c r="N231">
        <v>3000</v>
      </c>
      <c r="O231">
        <f t="shared" si="28"/>
        <v>5718</v>
      </c>
      <c r="P231">
        <v>1050</v>
      </c>
      <c r="Q231">
        <v>315</v>
      </c>
      <c r="R231" s="4">
        <v>2.6989999999999998</v>
      </c>
      <c r="S231" s="2">
        <v>0.94099999999999995</v>
      </c>
      <c r="T231" s="2">
        <v>0.95199999999999996</v>
      </c>
      <c r="U231" s="2">
        <v>0.95199999999999996</v>
      </c>
      <c r="V231" s="2">
        <v>0.95199999999999996</v>
      </c>
      <c r="W231" s="2">
        <v>0.95199999999999996</v>
      </c>
      <c r="X231" s="2">
        <v>0.95199999999999996</v>
      </c>
      <c r="Y231">
        <f t="shared" si="29"/>
        <v>15433</v>
      </c>
      <c r="Z231">
        <f t="shared" si="30"/>
        <v>12344</v>
      </c>
      <c r="AA231">
        <f t="shared" si="31"/>
        <v>11019</v>
      </c>
      <c r="AB231">
        <f t="shared" si="32"/>
        <v>7346</v>
      </c>
      <c r="AC231">
        <f t="shared" si="33"/>
        <v>9550</v>
      </c>
      <c r="AD231">
        <f t="shared" si="34"/>
        <v>5877</v>
      </c>
      <c r="AE231">
        <f t="shared" si="35"/>
        <v>6611</v>
      </c>
      <c r="AF231">
        <v>0.85</v>
      </c>
      <c r="AG231">
        <v>0.75</v>
      </c>
      <c r="AH231">
        <v>0.5</v>
      </c>
      <c r="AI231">
        <v>0.65</v>
      </c>
      <c r="AJ231">
        <v>0.4</v>
      </c>
      <c r="AK231">
        <v>0.45</v>
      </c>
      <c r="AL231" t="s">
        <v>259</v>
      </c>
    </row>
    <row r="232" spans="1:38" x14ac:dyDescent="0.45">
      <c r="A232" t="s">
        <v>865</v>
      </c>
      <c r="B232" t="s">
        <v>37</v>
      </c>
      <c r="C232" t="s">
        <v>870</v>
      </c>
      <c r="D232" t="s">
        <v>871</v>
      </c>
      <c r="E232" t="s">
        <v>38</v>
      </c>
      <c r="F232" t="s">
        <v>872</v>
      </c>
      <c r="G232" t="s">
        <v>873</v>
      </c>
      <c r="H232" t="s">
        <v>70</v>
      </c>
      <c r="I232">
        <v>32.5</v>
      </c>
      <c r="J232">
        <v>0</v>
      </c>
      <c r="K232">
        <f>IFERROR(VLOOKUP(C232,[1]智慧家庭產品價格表.含稅!C:S,17,FALSE),0)</f>
        <v>0</v>
      </c>
      <c r="L232">
        <v>13</v>
      </c>
      <c r="M232">
        <f t="shared" si="27"/>
        <v>0</v>
      </c>
      <c r="N232">
        <v>0</v>
      </c>
      <c r="O232">
        <f t="shared" si="28"/>
        <v>0</v>
      </c>
      <c r="P232">
        <v>1050</v>
      </c>
      <c r="Q232">
        <v>315</v>
      </c>
      <c r="R232" s="4">
        <v>1</v>
      </c>
      <c r="S232" s="2">
        <v>0.94099999999999995</v>
      </c>
      <c r="T232" s="2" t="e">
        <v>#DIV/0!</v>
      </c>
      <c r="U232" s="2" t="e">
        <v>#DIV/0!</v>
      </c>
      <c r="V232" s="2" t="e">
        <v>#DIV/0!</v>
      </c>
      <c r="W232" s="2" t="e">
        <v>#DIV/0!</v>
      </c>
      <c r="X232" s="2">
        <v>0.95199999999999996</v>
      </c>
      <c r="Y232">
        <f t="shared" si="29"/>
        <v>0</v>
      </c>
      <c r="Z232">
        <f t="shared" si="30"/>
        <v>0</v>
      </c>
      <c r="AA232" t="e">
        <f t="shared" si="31"/>
        <v>#DIV/0!</v>
      </c>
      <c r="AB232" t="e">
        <f t="shared" si="32"/>
        <v>#DIV/0!</v>
      </c>
      <c r="AC232" t="e">
        <f t="shared" si="33"/>
        <v>#DIV/0!</v>
      </c>
      <c r="AD232" t="e">
        <f t="shared" si="34"/>
        <v>#DIV/0!</v>
      </c>
      <c r="AE232">
        <f t="shared" si="35"/>
        <v>0</v>
      </c>
      <c r="AF232">
        <v>0.85</v>
      </c>
      <c r="AG232">
        <v>0.75</v>
      </c>
      <c r="AH232">
        <v>0.5</v>
      </c>
      <c r="AI232">
        <v>0.65</v>
      </c>
      <c r="AJ232">
        <v>0.4</v>
      </c>
      <c r="AK232">
        <v>0.45</v>
      </c>
      <c r="AL232" t="s">
        <v>259</v>
      </c>
    </row>
    <row r="233" spans="1:38" x14ac:dyDescent="0.45">
      <c r="A233" t="s">
        <v>865</v>
      </c>
      <c r="B233" t="s">
        <v>37</v>
      </c>
      <c r="C233" t="s">
        <v>874</v>
      </c>
      <c r="D233" t="s">
        <v>875</v>
      </c>
      <c r="E233" t="s">
        <v>876</v>
      </c>
      <c r="F233" t="s">
        <v>877</v>
      </c>
      <c r="H233" t="s">
        <v>70</v>
      </c>
      <c r="I233">
        <v>32.5</v>
      </c>
      <c r="J233">
        <v>0</v>
      </c>
      <c r="K233">
        <f>IFERROR(VLOOKUP(C233,[1]智慧家庭產品價格表.含稅!C:S,17,FALSE),0)</f>
        <v>0</v>
      </c>
      <c r="L233">
        <v>13</v>
      </c>
      <c r="M233">
        <f t="shared" si="27"/>
        <v>0</v>
      </c>
      <c r="N233">
        <v>0</v>
      </c>
      <c r="O233">
        <f t="shared" si="28"/>
        <v>0</v>
      </c>
      <c r="P233">
        <v>0</v>
      </c>
      <c r="Q233">
        <v>0</v>
      </c>
      <c r="R233" s="4">
        <v>1</v>
      </c>
      <c r="S233" s="2">
        <v>1.2350000000000001</v>
      </c>
      <c r="T233" s="2" t="e">
        <v>#DIV/0!</v>
      </c>
      <c r="U233" s="2" t="e">
        <v>#DIV/0!</v>
      </c>
      <c r="V233" s="2" t="e">
        <v>#DIV/0!</v>
      </c>
      <c r="W233" s="2" t="e">
        <v>#DIV/0!</v>
      </c>
      <c r="X233" s="2">
        <v>1.4810000000000001</v>
      </c>
      <c r="Y233">
        <f t="shared" si="29"/>
        <v>0</v>
      </c>
      <c r="Z233">
        <f t="shared" si="30"/>
        <v>0</v>
      </c>
      <c r="AA233" t="e">
        <f t="shared" si="31"/>
        <v>#DIV/0!</v>
      </c>
      <c r="AB233" t="e">
        <f t="shared" si="32"/>
        <v>#DIV/0!</v>
      </c>
      <c r="AC233" t="e">
        <f t="shared" si="33"/>
        <v>#DIV/0!</v>
      </c>
      <c r="AD233" t="e">
        <f t="shared" si="34"/>
        <v>#DIV/0!</v>
      </c>
      <c r="AE233">
        <f t="shared" si="35"/>
        <v>0</v>
      </c>
      <c r="AF233">
        <v>0.85</v>
      </c>
      <c r="AG233">
        <v>0.75</v>
      </c>
      <c r="AH233">
        <v>0.5</v>
      </c>
      <c r="AI233">
        <v>0.65</v>
      </c>
      <c r="AJ233">
        <v>0.4</v>
      </c>
      <c r="AK233">
        <v>0.45</v>
      </c>
    </row>
    <row r="234" spans="1:38" s="7" customFormat="1" x14ac:dyDescent="0.45">
      <c r="A234" s="7" t="s">
        <v>967</v>
      </c>
      <c r="B234" s="7" t="s">
        <v>37</v>
      </c>
      <c r="C234" s="7" t="s">
        <v>900</v>
      </c>
      <c r="D234" s="7" t="s">
        <v>885</v>
      </c>
      <c r="E234" s="7" t="s">
        <v>199</v>
      </c>
      <c r="F234" s="7" t="s">
        <v>297</v>
      </c>
      <c r="H234" s="7" t="s">
        <v>41</v>
      </c>
      <c r="I234" s="7">
        <v>32.5</v>
      </c>
      <c r="J234" s="7">
        <v>216</v>
      </c>
      <c r="K234" s="7">
        <v>1</v>
      </c>
      <c r="L234" s="7">
        <v>13</v>
      </c>
      <c r="M234" s="7">
        <f t="shared" si="27"/>
        <v>245.21</v>
      </c>
      <c r="N234" s="7">
        <v>0</v>
      </c>
      <c r="O234" s="7">
        <f t="shared" si="28"/>
        <v>7969</v>
      </c>
      <c r="P234" s="7">
        <v>210</v>
      </c>
      <c r="Q234" s="7">
        <v>525</v>
      </c>
      <c r="R234" s="8">
        <v>3.48</v>
      </c>
      <c r="S234" s="9">
        <v>0.94099999999999995</v>
      </c>
      <c r="T234" s="9">
        <v>0.95199999999999996</v>
      </c>
      <c r="U234" s="9">
        <v>0.95199999999999996</v>
      </c>
      <c r="V234" s="9">
        <v>0.95199999999999996</v>
      </c>
      <c r="W234" s="9">
        <v>0.95199999999999996</v>
      </c>
      <c r="X234" s="9">
        <v>0.95199999999999996</v>
      </c>
      <c r="Y234" s="7">
        <f t="shared" si="29"/>
        <v>27732</v>
      </c>
      <c r="Z234" s="7">
        <f t="shared" ref="Z234:Z245" si="36">ROUND(Y234*S234*AF234,0)</f>
        <v>22181</v>
      </c>
      <c r="AA234" s="7">
        <f t="shared" ref="AA234:AA245" si="37">ROUND(Y234*T234*AG234,0)</f>
        <v>19801</v>
      </c>
      <c r="AB234" s="7">
        <f t="shared" ref="AB234:AB245" si="38">ROUND(Y234*U234*AH234,0)</f>
        <v>13200</v>
      </c>
      <c r="AC234" s="7">
        <f t="shared" ref="AC234:AC245" si="39">ROUND(Y234*V234*AI234,0)</f>
        <v>17161</v>
      </c>
      <c r="AD234" s="7">
        <f t="shared" ref="AD234:AD245" si="40">ROUND(Y234*W234*AJ234,0)</f>
        <v>10560</v>
      </c>
      <c r="AE234" s="7">
        <f t="shared" ref="AE234:AE245" si="41">ROUND(Y234*X234*AK234,0)</f>
        <v>11880</v>
      </c>
      <c r="AF234" s="7">
        <v>0.85</v>
      </c>
      <c r="AG234" s="7">
        <v>0.75</v>
      </c>
      <c r="AH234" s="7">
        <v>0.5</v>
      </c>
      <c r="AI234" s="7">
        <v>0.65</v>
      </c>
      <c r="AJ234" s="7">
        <v>0.4</v>
      </c>
      <c r="AK234" s="7">
        <v>0.45</v>
      </c>
      <c r="AL234" s="7" t="s">
        <v>282</v>
      </c>
    </row>
    <row r="235" spans="1:38" x14ac:dyDescent="0.45">
      <c r="A235" t="s">
        <v>372</v>
      </c>
      <c r="B235" t="s">
        <v>37</v>
      </c>
      <c r="C235" t="s">
        <v>467</v>
      </c>
      <c r="D235" t="s">
        <v>891</v>
      </c>
      <c r="E235" t="s">
        <v>38</v>
      </c>
      <c r="F235" t="s">
        <v>958</v>
      </c>
      <c r="H235" t="s">
        <v>41</v>
      </c>
      <c r="I235">
        <v>32.5</v>
      </c>
      <c r="J235">
        <v>24</v>
      </c>
      <c r="K235">
        <v>1</v>
      </c>
      <c r="L235">
        <v>13</v>
      </c>
      <c r="M235">
        <f t="shared" si="27"/>
        <v>28.25</v>
      </c>
      <c r="N235">
        <v>0</v>
      </c>
      <c r="O235">
        <f t="shared" si="28"/>
        <v>918</v>
      </c>
      <c r="P235">
        <v>210</v>
      </c>
      <c r="Q235">
        <v>315</v>
      </c>
      <c r="R235" s="4">
        <v>4.1619999999999999</v>
      </c>
      <c r="S235" s="2">
        <v>0.94099999999999995</v>
      </c>
      <c r="T235" s="2">
        <v>0.95199999999999996</v>
      </c>
      <c r="U235" s="2">
        <v>0.95199999999999996</v>
      </c>
      <c r="V235" s="2">
        <v>0.95199999999999996</v>
      </c>
      <c r="W235" s="2">
        <v>0.95199999999999996</v>
      </c>
      <c r="X235" s="2">
        <v>0.95199999999999996</v>
      </c>
      <c r="Y235">
        <f t="shared" ref="Y235:Y245" si="42">ROUND(O235*R235,0)</f>
        <v>3821</v>
      </c>
      <c r="Z235">
        <f t="shared" si="36"/>
        <v>3056</v>
      </c>
      <c r="AA235">
        <f t="shared" si="37"/>
        <v>2728</v>
      </c>
      <c r="AB235">
        <f t="shared" si="38"/>
        <v>1819</v>
      </c>
      <c r="AC235">
        <f t="shared" si="39"/>
        <v>2364</v>
      </c>
      <c r="AD235">
        <f t="shared" si="40"/>
        <v>1455</v>
      </c>
      <c r="AE235">
        <f t="shared" si="41"/>
        <v>1637</v>
      </c>
      <c r="AF235">
        <v>0.85</v>
      </c>
      <c r="AG235">
        <v>0.75</v>
      </c>
      <c r="AH235">
        <v>0.5</v>
      </c>
      <c r="AI235">
        <v>0.65</v>
      </c>
      <c r="AJ235">
        <v>0.4</v>
      </c>
      <c r="AK235">
        <v>0.45</v>
      </c>
      <c r="AL235" t="s">
        <v>46</v>
      </c>
    </row>
    <row r="236" spans="1:38" x14ac:dyDescent="0.45">
      <c r="A236" t="s">
        <v>372</v>
      </c>
      <c r="B236" t="s">
        <v>37</v>
      </c>
      <c r="C236" t="s">
        <v>471</v>
      </c>
      <c r="D236" t="s">
        <v>892</v>
      </c>
      <c r="E236" t="s">
        <v>38</v>
      </c>
      <c r="F236" t="s">
        <v>958</v>
      </c>
      <c r="H236" t="s">
        <v>41</v>
      </c>
      <c r="I236">
        <v>32.5</v>
      </c>
      <c r="J236">
        <v>27</v>
      </c>
      <c r="K236">
        <v>1</v>
      </c>
      <c r="L236">
        <v>13</v>
      </c>
      <c r="M236">
        <f t="shared" si="27"/>
        <v>31.64</v>
      </c>
      <c r="N236">
        <v>0</v>
      </c>
      <c r="O236">
        <f t="shared" si="28"/>
        <v>1028</v>
      </c>
      <c r="P236">
        <v>210</v>
      </c>
      <c r="Q236">
        <v>315</v>
      </c>
      <c r="R236" s="4">
        <v>3.7160000000000002</v>
      </c>
      <c r="S236" s="2">
        <v>0.94099999999999995</v>
      </c>
      <c r="T236" s="2">
        <v>0.95199999999999996</v>
      </c>
      <c r="U236" s="2">
        <v>0.95199999999999996</v>
      </c>
      <c r="V236" s="2">
        <v>0.95199999999999996</v>
      </c>
      <c r="W236" s="2">
        <v>0.95199999999999996</v>
      </c>
      <c r="X236" s="2">
        <v>0.95199999999999996</v>
      </c>
      <c r="Y236">
        <f t="shared" si="42"/>
        <v>3820</v>
      </c>
      <c r="Z236">
        <f t="shared" si="36"/>
        <v>3055</v>
      </c>
      <c r="AA236">
        <f t="shared" si="37"/>
        <v>2727</v>
      </c>
      <c r="AB236">
        <f t="shared" si="38"/>
        <v>1818</v>
      </c>
      <c r="AC236">
        <f t="shared" si="39"/>
        <v>2364</v>
      </c>
      <c r="AD236">
        <f t="shared" si="40"/>
        <v>1455</v>
      </c>
      <c r="AE236">
        <f t="shared" si="41"/>
        <v>1636</v>
      </c>
      <c r="AF236">
        <v>0.85</v>
      </c>
      <c r="AG236">
        <v>0.75</v>
      </c>
      <c r="AH236">
        <v>0.5</v>
      </c>
      <c r="AI236">
        <v>0.65</v>
      </c>
      <c r="AJ236">
        <v>0.4</v>
      </c>
      <c r="AK236">
        <v>0.45</v>
      </c>
      <c r="AL236" t="s">
        <v>46</v>
      </c>
    </row>
    <row r="237" spans="1:38" x14ac:dyDescent="0.45">
      <c r="A237" t="s">
        <v>372</v>
      </c>
      <c r="B237" t="s">
        <v>37</v>
      </c>
      <c r="C237" t="s">
        <v>475</v>
      </c>
      <c r="D237" t="s">
        <v>893</v>
      </c>
      <c r="E237" t="s">
        <v>38</v>
      </c>
      <c r="F237" t="s">
        <v>958</v>
      </c>
      <c r="H237" t="s">
        <v>41</v>
      </c>
      <c r="I237">
        <v>32.5</v>
      </c>
      <c r="J237">
        <v>29</v>
      </c>
      <c r="K237">
        <v>1</v>
      </c>
      <c r="L237">
        <v>13</v>
      </c>
      <c r="M237">
        <f t="shared" si="27"/>
        <v>33.9</v>
      </c>
      <c r="N237">
        <v>0</v>
      </c>
      <c r="O237">
        <f t="shared" si="28"/>
        <v>1102</v>
      </c>
      <c r="P237">
        <v>210</v>
      </c>
      <c r="Q237">
        <v>315</v>
      </c>
      <c r="R237" s="4">
        <v>3.4670000000000001</v>
      </c>
      <c r="S237" s="2">
        <v>0.94099999999999995</v>
      </c>
      <c r="T237" s="2">
        <v>0.95199999999999996</v>
      </c>
      <c r="U237" s="2">
        <v>0.95199999999999996</v>
      </c>
      <c r="V237" s="2">
        <v>0.95199999999999996</v>
      </c>
      <c r="W237" s="2">
        <v>0.95199999999999996</v>
      </c>
      <c r="X237" s="2">
        <v>0.95199999999999996</v>
      </c>
      <c r="Y237">
        <f t="shared" si="42"/>
        <v>3821</v>
      </c>
      <c r="Z237">
        <f t="shared" si="36"/>
        <v>3056</v>
      </c>
      <c r="AA237">
        <f t="shared" si="37"/>
        <v>2728</v>
      </c>
      <c r="AB237">
        <f t="shared" si="38"/>
        <v>1819</v>
      </c>
      <c r="AC237">
        <f t="shared" si="39"/>
        <v>2364</v>
      </c>
      <c r="AD237">
        <f t="shared" si="40"/>
        <v>1455</v>
      </c>
      <c r="AE237">
        <f t="shared" si="41"/>
        <v>1637</v>
      </c>
      <c r="AF237">
        <v>0.85</v>
      </c>
      <c r="AG237">
        <v>0.75</v>
      </c>
      <c r="AH237">
        <v>0.5</v>
      </c>
      <c r="AI237">
        <v>0.65</v>
      </c>
      <c r="AJ237">
        <v>0.4</v>
      </c>
      <c r="AK237">
        <v>0.45</v>
      </c>
      <c r="AL237" t="s">
        <v>46</v>
      </c>
    </row>
    <row r="238" spans="1:38" x14ac:dyDescent="0.45">
      <c r="A238" t="s">
        <v>508</v>
      </c>
      <c r="B238" t="s">
        <v>37</v>
      </c>
      <c r="C238" t="s">
        <v>882</v>
      </c>
      <c r="D238" t="s">
        <v>901</v>
      </c>
      <c r="E238" t="s">
        <v>38</v>
      </c>
      <c r="F238" t="s">
        <v>959</v>
      </c>
      <c r="H238" t="s">
        <v>41</v>
      </c>
      <c r="I238">
        <v>32.5</v>
      </c>
      <c r="J238">
        <v>28.29</v>
      </c>
      <c r="K238">
        <v>1</v>
      </c>
      <c r="L238">
        <v>13</v>
      </c>
      <c r="M238">
        <f t="shared" si="27"/>
        <v>33.1</v>
      </c>
      <c r="N238">
        <v>0</v>
      </c>
      <c r="O238">
        <f t="shared" si="28"/>
        <v>1076</v>
      </c>
      <c r="P238">
        <v>158</v>
      </c>
      <c r="Q238">
        <v>315</v>
      </c>
      <c r="R238" s="4">
        <v>3.6720000000000002</v>
      </c>
      <c r="S238" s="2">
        <v>0.94099999999999995</v>
      </c>
      <c r="T238" s="2">
        <v>0.95199999999999996</v>
      </c>
      <c r="U238" s="2">
        <v>0.95199999999999996</v>
      </c>
      <c r="V238" s="2">
        <v>0.95199999999999996</v>
      </c>
      <c r="W238" s="2">
        <v>0.95199999999999996</v>
      </c>
      <c r="X238" s="2">
        <v>0.95199999999999996</v>
      </c>
      <c r="Y238">
        <f t="shared" si="42"/>
        <v>3951</v>
      </c>
      <c r="Z238">
        <f t="shared" si="36"/>
        <v>3160</v>
      </c>
      <c r="AA238">
        <f t="shared" si="37"/>
        <v>2821</v>
      </c>
      <c r="AB238">
        <f t="shared" si="38"/>
        <v>1881</v>
      </c>
      <c r="AC238">
        <f t="shared" si="39"/>
        <v>2445</v>
      </c>
      <c r="AD238">
        <f t="shared" si="40"/>
        <v>1505</v>
      </c>
      <c r="AE238">
        <f t="shared" si="41"/>
        <v>1693</v>
      </c>
      <c r="AF238">
        <v>0.85</v>
      </c>
      <c r="AG238">
        <v>0.75</v>
      </c>
      <c r="AH238">
        <v>0.5</v>
      </c>
      <c r="AI238">
        <v>0.65</v>
      </c>
      <c r="AJ238">
        <v>0.4</v>
      </c>
      <c r="AK238">
        <v>0.45</v>
      </c>
      <c r="AL238" t="s">
        <v>126</v>
      </c>
    </row>
    <row r="239" spans="1:38" x14ac:dyDescent="0.45">
      <c r="A239" t="s">
        <v>508</v>
      </c>
      <c r="B239" t="s">
        <v>37</v>
      </c>
      <c r="C239" t="s">
        <v>883</v>
      </c>
      <c r="D239" t="s">
        <v>902</v>
      </c>
      <c r="E239" t="s">
        <v>38</v>
      </c>
      <c r="F239" t="s">
        <v>960</v>
      </c>
      <c r="H239" t="s">
        <v>41</v>
      </c>
      <c r="I239">
        <v>32.5</v>
      </c>
      <c r="J239">
        <v>27</v>
      </c>
      <c r="K239">
        <v>1</v>
      </c>
      <c r="L239">
        <v>13</v>
      </c>
      <c r="M239">
        <f t="shared" si="27"/>
        <v>31.64</v>
      </c>
      <c r="N239">
        <v>0</v>
      </c>
      <c r="O239">
        <f t="shared" si="28"/>
        <v>1028</v>
      </c>
      <c r="P239">
        <v>158</v>
      </c>
      <c r="Q239">
        <v>315</v>
      </c>
      <c r="R239" s="4">
        <v>3.6970000000000001</v>
      </c>
      <c r="S239" s="2">
        <v>0.94099999999999995</v>
      </c>
      <c r="T239" s="2">
        <v>0.95199999999999996</v>
      </c>
      <c r="U239" s="2">
        <v>0.95199999999999996</v>
      </c>
      <c r="V239" s="2">
        <v>0.95199999999999996</v>
      </c>
      <c r="W239" s="2">
        <v>0.95199999999999996</v>
      </c>
      <c r="X239" s="2">
        <v>0.95199999999999996</v>
      </c>
      <c r="Y239">
        <f t="shared" si="42"/>
        <v>3801</v>
      </c>
      <c r="Z239">
        <f t="shared" si="36"/>
        <v>3040</v>
      </c>
      <c r="AA239">
        <f t="shared" si="37"/>
        <v>2714</v>
      </c>
      <c r="AB239">
        <f t="shared" si="38"/>
        <v>1809</v>
      </c>
      <c r="AC239">
        <f t="shared" si="39"/>
        <v>2352</v>
      </c>
      <c r="AD239">
        <f t="shared" si="40"/>
        <v>1447</v>
      </c>
      <c r="AE239">
        <f t="shared" si="41"/>
        <v>1628</v>
      </c>
      <c r="AF239">
        <v>0.85</v>
      </c>
      <c r="AG239">
        <v>0.75</v>
      </c>
      <c r="AH239">
        <v>0.5</v>
      </c>
      <c r="AI239">
        <v>0.65</v>
      </c>
      <c r="AJ239">
        <v>0.4</v>
      </c>
      <c r="AK239">
        <v>0.45</v>
      </c>
      <c r="AL239" t="s">
        <v>126</v>
      </c>
    </row>
    <row r="240" spans="1:38" x14ac:dyDescent="0.45">
      <c r="A240" t="s">
        <v>508</v>
      </c>
      <c r="B240" t="s">
        <v>37</v>
      </c>
      <c r="C240" t="s">
        <v>884</v>
      </c>
      <c r="D240" t="s">
        <v>894</v>
      </c>
      <c r="E240" t="s">
        <v>38</v>
      </c>
      <c r="F240" t="s">
        <v>961</v>
      </c>
      <c r="H240" t="s">
        <v>41</v>
      </c>
      <c r="I240">
        <v>32.5</v>
      </c>
      <c r="J240">
        <v>1.1399999999999999</v>
      </c>
      <c r="K240">
        <v>1</v>
      </c>
      <c r="L240">
        <v>13</v>
      </c>
      <c r="M240">
        <f t="shared" si="27"/>
        <v>2.42</v>
      </c>
      <c r="N240">
        <v>0</v>
      </c>
      <c r="O240">
        <f t="shared" si="28"/>
        <v>79</v>
      </c>
      <c r="P240">
        <v>0</v>
      </c>
      <c r="Q240">
        <v>0</v>
      </c>
      <c r="R240" s="4">
        <v>9.7249999999999996</v>
      </c>
      <c r="S240" s="2">
        <v>0.94099999999999995</v>
      </c>
      <c r="T240" s="2">
        <v>0.95199999999999996</v>
      </c>
      <c r="U240" s="2">
        <v>0.95199999999999996</v>
      </c>
      <c r="V240" s="2">
        <v>0.95199999999999996</v>
      </c>
      <c r="W240" s="2">
        <v>0.95199999999999996</v>
      </c>
      <c r="X240" s="2">
        <v>0.95199999999999996</v>
      </c>
      <c r="Y240">
        <f t="shared" si="42"/>
        <v>768</v>
      </c>
      <c r="Z240">
        <f t="shared" si="36"/>
        <v>614</v>
      </c>
      <c r="AA240">
        <f t="shared" si="37"/>
        <v>548</v>
      </c>
      <c r="AB240">
        <f t="shared" si="38"/>
        <v>366</v>
      </c>
      <c r="AC240">
        <f t="shared" si="39"/>
        <v>475</v>
      </c>
      <c r="AD240">
        <f t="shared" si="40"/>
        <v>292</v>
      </c>
      <c r="AE240">
        <f t="shared" si="41"/>
        <v>329</v>
      </c>
      <c r="AF240">
        <v>0.85</v>
      </c>
      <c r="AG240">
        <v>0.75</v>
      </c>
      <c r="AH240">
        <v>0.5</v>
      </c>
      <c r="AI240">
        <v>0.65</v>
      </c>
      <c r="AJ240">
        <v>0.4</v>
      </c>
      <c r="AK240">
        <v>0.45</v>
      </c>
    </row>
    <row r="241" spans="1:38" x14ac:dyDescent="0.45">
      <c r="A241" t="s">
        <v>508</v>
      </c>
      <c r="B241" t="s">
        <v>37</v>
      </c>
      <c r="C241" t="s">
        <v>629</v>
      </c>
      <c r="D241" t="s">
        <v>895</v>
      </c>
      <c r="E241" t="s">
        <v>38</v>
      </c>
      <c r="F241" t="s">
        <v>962</v>
      </c>
      <c r="H241" t="s">
        <v>41</v>
      </c>
      <c r="I241">
        <v>32.5</v>
      </c>
      <c r="J241">
        <v>15.1</v>
      </c>
      <c r="K241">
        <v>1</v>
      </c>
      <c r="L241">
        <v>13</v>
      </c>
      <c r="M241">
        <f t="shared" si="27"/>
        <v>18.190000000000001</v>
      </c>
      <c r="N241">
        <v>0</v>
      </c>
      <c r="O241">
        <f t="shared" si="28"/>
        <v>591</v>
      </c>
      <c r="P241">
        <v>158</v>
      </c>
      <c r="Q241">
        <v>315</v>
      </c>
      <c r="R241" s="4">
        <v>4.069</v>
      </c>
      <c r="S241" s="2">
        <v>0.94099999999999995</v>
      </c>
      <c r="T241" s="2">
        <v>0.95199999999999996</v>
      </c>
      <c r="U241" s="2">
        <v>0.95199999999999996</v>
      </c>
      <c r="V241" s="2">
        <v>0.95199999999999996</v>
      </c>
      <c r="W241" s="2">
        <v>0.95199999999999996</v>
      </c>
      <c r="X241" s="2">
        <v>0.95199999999999996</v>
      </c>
      <c r="Y241">
        <f t="shared" si="42"/>
        <v>2405</v>
      </c>
      <c r="Z241">
        <f t="shared" si="36"/>
        <v>1924</v>
      </c>
      <c r="AA241">
        <f t="shared" si="37"/>
        <v>1717</v>
      </c>
      <c r="AB241">
        <f t="shared" si="38"/>
        <v>1145</v>
      </c>
      <c r="AC241">
        <f t="shared" si="39"/>
        <v>1488</v>
      </c>
      <c r="AD241">
        <f t="shared" si="40"/>
        <v>916</v>
      </c>
      <c r="AE241">
        <f t="shared" si="41"/>
        <v>1030</v>
      </c>
      <c r="AF241">
        <v>0.85</v>
      </c>
      <c r="AG241">
        <v>0.75</v>
      </c>
      <c r="AH241">
        <v>0.5</v>
      </c>
      <c r="AI241">
        <v>0.65</v>
      </c>
      <c r="AJ241">
        <v>0.4</v>
      </c>
      <c r="AK241">
        <v>0.45</v>
      </c>
      <c r="AL241" t="s">
        <v>164</v>
      </c>
    </row>
    <row r="242" spans="1:38" x14ac:dyDescent="0.45">
      <c r="A242" t="s">
        <v>508</v>
      </c>
      <c r="B242" t="s">
        <v>37</v>
      </c>
      <c r="C242" t="s">
        <v>681</v>
      </c>
      <c r="D242" t="s">
        <v>896</v>
      </c>
      <c r="E242" t="s">
        <v>38</v>
      </c>
      <c r="F242" t="s">
        <v>963</v>
      </c>
      <c r="H242" t="s">
        <v>41</v>
      </c>
      <c r="I242">
        <v>32.5</v>
      </c>
      <c r="J242">
        <v>13.4</v>
      </c>
      <c r="K242">
        <v>1</v>
      </c>
      <c r="L242">
        <v>13</v>
      </c>
      <c r="M242">
        <f t="shared" si="27"/>
        <v>16.27</v>
      </c>
      <c r="N242">
        <v>0</v>
      </c>
      <c r="O242">
        <f t="shared" si="28"/>
        <v>529</v>
      </c>
      <c r="P242">
        <v>158</v>
      </c>
      <c r="Q242">
        <v>315</v>
      </c>
      <c r="R242" s="4">
        <v>4.17</v>
      </c>
      <c r="S242" s="2">
        <v>0.94099999999999995</v>
      </c>
      <c r="T242" s="2">
        <v>0.95199999999999996</v>
      </c>
      <c r="U242" s="2">
        <v>0.95199999999999996</v>
      </c>
      <c r="V242" s="2">
        <v>0.95199999999999996</v>
      </c>
      <c r="W242" s="2">
        <v>0.95199999999999996</v>
      </c>
      <c r="X242" s="2">
        <v>0.95199999999999996</v>
      </c>
      <c r="Y242">
        <f t="shared" si="42"/>
        <v>2206</v>
      </c>
      <c r="Z242">
        <f t="shared" si="36"/>
        <v>1764</v>
      </c>
      <c r="AA242">
        <f t="shared" si="37"/>
        <v>1575</v>
      </c>
      <c r="AB242">
        <f t="shared" si="38"/>
        <v>1050</v>
      </c>
      <c r="AC242">
        <f t="shared" si="39"/>
        <v>1365</v>
      </c>
      <c r="AD242">
        <f t="shared" si="40"/>
        <v>840</v>
      </c>
      <c r="AE242">
        <f t="shared" si="41"/>
        <v>945</v>
      </c>
      <c r="AF242">
        <v>0.85</v>
      </c>
      <c r="AG242">
        <v>0.75</v>
      </c>
      <c r="AH242">
        <v>0.5</v>
      </c>
      <c r="AI242">
        <v>0.65</v>
      </c>
      <c r="AJ242">
        <v>0.4</v>
      </c>
      <c r="AK242">
        <v>0.45</v>
      </c>
      <c r="AL242" t="s">
        <v>164</v>
      </c>
    </row>
    <row r="243" spans="1:38" x14ac:dyDescent="0.45">
      <c r="A243" t="s">
        <v>304</v>
      </c>
      <c r="B243" t="s">
        <v>37</v>
      </c>
      <c r="C243" t="s">
        <v>886</v>
      </c>
      <c r="D243" t="s">
        <v>897</v>
      </c>
      <c r="E243" t="s">
        <v>38</v>
      </c>
      <c r="F243" t="s">
        <v>964</v>
      </c>
      <c r="H243" t="s">
        <v>41</v>
      </c>
      <c r="I243">
        <v>32.5</v>
      </c>
      <c r="J243">
        <v>51.9</v>
      </c>
      <c r="K243">
        <v>1</v>
      </c>
      <c r="L243">
        <v>13</v>
      </c>
      <c r="M243">
        <f t="shared" si="27"/>
        <v>59.78</v>
      </c>
      <c r="N243">
        <v>0</v>
      </c>
      <c r="O243">
        <f t="shared" si="28"/>
        <v>1943</v>
      </c>
      <c r="P243">
        <v>158</v>
      </c>
      <c r="Q243">
        <v>315</v>
      </c>
      <c r="R243" s="4">
        <v>2.306</v>
      </c>
      <c r="S243" s="2">
        <v>1.117</v>
      </c>
      <c r="T243" s="2">
        <v>1.1419999999999999</v>
      </c>
      <c r="U243" s="2">
        <v>1.238</v>
      </c>
      <c r="V243" s="2">
        <v>1.1719999999999999</v>
      </c>
      <c r="W243" s="2">
        <v>1.3089999999999999</v>
      </c>
      <c r="X243" s="2">
        <v>1.2689999999999999</v>
      </c>
      <c r="Y243">
        <f t="shared" si="42"/>
        <v>4481</v>
      </c>
      <c r="Z243">
        <f t="shared" si="36"/>
        <v>4254</v>
      </c>
      <c r="AA243">
        <f t="shared" si="37"/>
        <v>3838</v>
      </c>
      <c r="AB243">
        <f t="shared" si="38"/>
        <v>2774</v>
      </c>
      <c r="AC243">
        <f t="shared" si="39"/>
        <v>3414</v>
      </c>
      <c r="AD243">
        <f t="shared" si="40"/>
        <v>2346</v>
      </c>
      <c r="AE243">
        <f t="shared" si="41"/>
        <v>2559</v>
      </c>
      <c r="AF243">
        <v>0.85</v>
      </c>
      <c r="AG243">
        <v>0.75</v>
      </c>
      <c r="AH243">
        <v>0.5</v>
      </c>
      <c r="AI243">
        <v>0.65</v>
      </c>
      <c r="AJ243">
        <v>0.4</v>
      </c>
      <c r="AK243">
        <v>0.45</v>
      </c>
      <c r="AL243" t="s">
        <v>309</v>
      </c>
    </row>
    <row r="244" spans="1:38" x14ac:dyDescent="0.45">
      <c r="A244" t="s">
        <v>865</v>
      </c>
      <c r="B244" t="s">
        <v>37</v>
      </c>
      <c r="C244" t="s">
        <v>887</v>
      </c>
      <c r="D244" t="s">
        <v>888</v>
      </c>
      <c r="E244" t="s">
        <v>899</v>
      </c>
      <c r="F244" t="s">
        <v>965</v>
      </c>
      <c r="H244" t="s">
        <v>41</v>
      </c>
      <c r="I244">
        <v>32.5</v>
      </c>
      <c r="J244">
        <v>56.1</v>
      </c>
      <c r="K244">
        <v>3</v>
      </c>
      <c r="L244">
        <v>13</v>
      </c>
      <c r="M244">
        <f t="shared" si="27"/>
        <v>66.78</v>
      </c>
      <c r="N244">
        <v>0</v>
      </c>
      <c r="O244">
        <f t="shared" si="28"/>
        <v>2170</v>
      </c>
      <c r="P244">
        <v>1050</v>
      </c>
      <c r="Q244">
        <v>315</v>
      </c>
      <c r="R244" s="4">
        <v>5.5389999999999997</v>
      </c>
      <c r="S244" s="2">
        <v>1.1060000000000001</v>
      </c>
      <c r="T244" s="2">
        <v>1.1299999999999999</v>
      </c>
      <c r="U244" s="2">
        <v>1.2190000000000001</v>
      </c>
      <c r="V244" s="2">
        <v>1.157</v>
      </c>
      <c r="W244" s="2">
        <v>1.286</v>
      </c>
      <c r="X244" s="2">
        <v>1.2490000000000001</v>
      </c>
      <c r="Y244">
        <f t="shared" si="42"/>
        <v>12020</v>
      </c>
      <c r="Z244">
        <f t="shared" si="36"/>
        <v>11300</v>
      </c>
      <c r="AA244">
        <f t="shared" si="37"/>
        <v>10187</v>
      </c>
      <c r="AB244">
        <f t="shared" si="38"/>
        <v>7326</v>
      </c>
      <c r="AC244">
        <f t="shared" si="39"/>
        <v>9040</v>
      </c>
      <c r="AD244">
        <f t="shared" si="40"/>
        <v>6183</v>
      </c>
      <c r="AE244">
        <f t="shared" si="41"/>
        <v>6756</v>
      </c>
      <c r="AF244">
        <v>0.85</v>
      </c>
      <c r="AG244">
        <v>0.75</v>
      </c>
      <c r="AH244">
        <v>0.5</v>
      </c>
      <c r="AI244">
        <v>0.65</v>
      </c>
      <c r="AJ244">
        <v>0.4</v>
      </c>
      <c r="AK244">
        <v>0.45</v>
      </c>
    </row>
    <row r="245" spans="1:38" x14ac:dyDescent="0.45">
      <c r="A245" t="s">
        <v>865</v>
      </c>
      <c r="B245" t="s">
        <v>37</v>
      </c>
      <c r="C245" t="s">
        <v>889</v>
      </c>
      <c r="D245" t="s">
        <v>890</v>
      </c>
      <c r="E245" t="s">
        <v>899</v>
      </c>
      <c r="F245" t="s">
        <v>966</v>
      </c>
      <c r="H245" t="s">
        <v>41</v>
      </c>
      <c r="I245">
        <v>32.5</v>
      </c>
      <c r="J245">
        <v>61.3</v>
      </c>
      <c r="K245">
        <v>3</v>
      </c>
      <c r="L245">
        <v>13</v>
      </c>
      <c r="M245">
        <f t="shared" si="27"/>
        <v>72.66</v>
      </c>
      <c r="N245">
        <v>0</v>
      </c>
      <c r="O245">
        <f t="shared" si="28"/>
        <v>2361</v>
      </c>
      <c r="P245">
        <v>1050</v>
      </c>
      <c r="Q245">
        <v>315</v>
      </c>
      <c r="R245" s="4">
        <v>5.5209999999999999</v>
      </c>
      <c r="S245" s="2">
        <v>1.1060000000000001</v>
      </c>
      <c r="T245" s="2">
        <v>1.1299999999999999</v>
      </c>
      <c r="U245" s="2">
        <v>1.2190000000000001</v>
      </c>
      <c r="V245" s="2">
        <v>1.157</v>
      </c>
      <c r="W245" s="2">
        <v>1.286</v>
      </c>
      <c r="X245" s="2">
        <v>1.2490000000000001</v>
      </c>
      <c r="Y245">
        <f t="shared" si="42"/>
        <v>13035</v>
      </c>
      <c r="Z245">
        <f t="shared" si="36"/>
        <v>12254</v>
      </c>
      <c r="AA245">
        <f t="shared" si="37"/>
        <v>11047</v>
      </c>
      <c r="AB245">
        <f t="shared" si="38"/>
        <v>7945</v>
      </c>
      <c r="AC245">
        <f t="shared" si="39"/>
        <v>9803</v>
      </c>
      <c r="AD245">
        <f t="shared" si="40"/>
        <v>6705</v>
      </c>
      <c r="AE245">
        <f t="shared" si="41"/>
        <v>7326</v>
      </c>
      <c r="AF245">
        <v>0.85</v>
      </c>
      <c r="AG245">
        <v>0.75</v>
      </c>
      <c r="AH245">
        <v>0.5</v>
      </c>
      <c r="AI245">
        <v>0.65</v>
      </c>
      <c r="AJ245">
        <v>0.4</v>
      </c>
      <c r="AK245">
        <v>0.45</v>
      </c>
    </row>
    <row r="246" spans="1:38" x14ac:dyDescent="0.45">
      <c r="A246" t="s">
        <v>508</v>
      </c>
      <c r="B246" t="s">
        <v>37</v>
      </c>
      <c r="C246" t="s">
        <v>968</v>
      </c>
      <c r="D246" t="s">
        <v>969</v>
      </c>
      <c r="E246" t="s">
        <v>38</v>
      </c>
      <c r="F246" t="s">
        <v>970</v>
      </c>
      <c r="H246" t="s">
        <v>41</v>
      </c>
      <c r="I246">
        <v>32.5</v>
      </c>
      <c r="J246">
        <v>24</v>
      </c>
      <c r="K246">
        <v>1</v>
      </c>
      <c r="L246">
        <v>13</v>
      </c>
      <c r="M246">
        <f t="shared" si="27"/>
        <v>28.25</v>
      </c>
      <c r="N246">
        <v>0</v>
      </c>
      <c r="O246">
        <f t="shared" si="28"/>
        <v>918</v>
      </c>
      <c r="P246">
        <v>158</v>
      </c>
      <c r="Q246">
        <v>315</v>
      </c>
      <c r="R246" s="1">
        <v>4.0790000000000006</v>
      </c>
      <c r="S246" s="6">
        <v>0.94130680834308444</v>
      </c>
      <c r="T246">
        <v>0.95229052796857427</v>
      </c>
      <c r="U246">
        <v>0.95229052796857427</v>
      </c>
      <c r="V246">
        <v>0.95229052796857416</v>
      </c>
      <c r="W246">
        <v>0.95229052796857427</v>
      </c>
      <c r="X246">
        <v>0.95231039483806212</v>
      </c>
      <c r="Y246">
        <f t="shared" ref="Y246:Y262" si="43">ROUND(O246*R246,0)</f>
        <v>3745</v>
      </c>
      <c r="Z246">
        <f t="shared" ref="Z246:Z262" si="44">ROUND(Y246*S246*AF246,0)</f>
        <v>2996</v>
      </c>
      <c r="AA246">
        <f t="shared" ref="AA246:AA262" si="45">ROUND(Y246*T246*AG246,0)</f>
        <v>2675</v>
      </c>
      <c r="AB246">
        <f t="shared" ref="AB246:AB262" si="46">ROUND(Y246*U246*AH246,0)</f>
        <v>1783</v>
      </c>
      <c r="AC246">
        <f t="shared" ref="AC246:AC262" si="47">ROUND(Y246*V246*AI246,0)</f>
        <v>2318</v>
      </c>
      <c r="AD246">
        <f t="shared" ref="AD246:AD262" si="48">ROUND(Y246*W246*AJ246,0)</f>
        <v>1427</v>
      </c>
      <c r="AE246">
        <f t="shared" ref="AE246:AE262" si="49">ROUND(Y246*X246*AK246,0)</f>
        <v>1605</v>
      </c>
      <c r="AF246">
        <v>0.85</v>
      </c>
      <c r="AG246">
        <v>0.75</v>
      </c>
      <c r="AH246">
        <v>0.5</v>
      </c>
      <c r="AI246">
        <v>0.65</v>
      </c>
      <c r="AJ246">
        <v>0.4</v>
      </c>
      <c r="AK246">
        <v>0.45</v>
      </c>
      <c r="AL246" t="s">
        <v>1019</v>
      </c>
    </row>
    <row r="247" spans="1:38" x14ac:dyDescent="0.45">
      <c r="A247" t="s">
        <v>508</v>
      </c>
      <c r="B247" t="s">
        <v>37</v>
      </c>
      <c r="C247" t="s">
        <v>971</v>
      </c>
      <c r="D247" t="s">
        <v>972</v>
      </c>
      <c r="E247" t="s">
        <v>38</v>
      </c>
      <c r="F247" t="s">
        <v>973</v>
      </c>
      <c r="H247" t="s">
        <v>41</v>
      </c>
      <c r="I247">
        <v>32.5</v>
      </c>
      <c r="J247">
        <v>24</v>
      </c>
      <c r="K247">
        <v>1</v>
      </c>
      <c r="L247">
        <v>13</v>
      </c>
      <c r="M247">
        <f t="shared" si="27"/>
        <v>28.25</v>
      </c>
      <c r="N247">
        <v>0</v>
      </c>
      <c r="O247">
        <f t="shared" si="28"/>
        <v>918</v>
      </c>
      <c r="P247">
        <v>158</v>
      </c>
      <c r="Q247">
        <v>315</v>
      </c>
      <c r="R247" s="1">
        <v>4.0790000000000006</v>
      </c>
      <c r="S247" s="6">
        <v>0.94130680834308444</v>
      </c>
      <c r="T247">
        <v>0.95229052796857427</v>
      </c>
      <c r="U247">
        <v>0.95229052796857427</v>
      </c>
      <c r="V247">
        <v>0.95229052796857416</v>
      </c>
      <c r="W247">
        <v>0.95229052796857427</v>
      </c>
      <c r="X247">
        <v>0.95231039483806212</v>
      </c>
      <c r="Y247">
        <f t="shared" si="43"/>
        <v>3745</v>
      </c>
      <c r="Z247">
        <f t="shared" si="44"/>
        <v>2996</v>
      </c>
      <c r="AA247">
        <f t="shared" si="45"/>
        <v>2675</v>
      </c>
      <c r="AB247">
        <f t="shared" si="46"/>
        <v>1783</v>
      </c>
      <c r="AC247">
        <f t="shared" si="47"/>
        <v>2318</v>
      </c>
      <c r="AD247">
        <f t="shared" si="48"/>
        <v>1427</v>
      </c>
      <c r="AE247">
        <f t="shared" si="49"/>
        <v>1605</v>
      </c>
      <c r="AF247">
        <v>0.85</v>
      </c>
      <c r="AG247">
        <v>0.75</v>
      </c>
      <c r="AH247">
        <v>0.5</v>
      </c>
      <c r="AI247">
        <v>0.65</v>
      </c>
      <c r="AJ247">
        <v>0.4</v>
      </c>
      <c r="AK247">
        <v>0.45</v>
      </c>
      <c r="AL247" t="s">
        <v>164</v>
      </c>
    </row>
    <row r="248" spans="1:38" x14ac:dyDescent="0.45">
      <c r="A248" t="s">
        <v>508</v>
      </c>
      <c r="B248" t="s">
        <v>37</v>
      </c>
      <c r="C248" t="s">
        <v>974</v>
      </c>
      <c r="D248" t="s">
        <v>975</v>
      </c>
      <c r="E248" t="s">
        <v>38</v>
      </c>
      <c r="F248" t="s">
        <v>976</v>
      </c>
      <c r="H248" t="s">
        <v>41</v>
      </c>
      <c r="I248">
        <v>32.5</v>
      </c>
      <c r="J248">
        <v>22.5</v>
      </c>
      <c r="K248">
        <v>1</v>
      </c>
      <c r="L248">
        <v>13</v>
      </c>
      <c r="M248">
        <f t="shared" si="27"/>
        <v>26.56</v>
      </c>
      <c r="N248">
        <v>0</v>
      </c>
      <c r="O248">
        <f t="shared" si="28"/>
        <v>863</v>
      </c>
      <c r="P248">
        <v>158</v>
      </c>
      <c r="Q248">
        <v>315</v>
      </c>
      <c r="R248" s="1">
        <v>4.0790000000000006</v>
      </c>
      <c r="S248" s="6">
        <v>0.94130680834308444</v>
      </c>
      <c r="T248">
        <v>0.95229052796857427</v>
      </c>
      <c r="U248">
        <v>0.95229052796857427</v>
      </c>
      <c r="V248">
        <v>0.95229052796857416</v>
      </c>
      <c r="W248">
        <v>0.95229052796857427</v>
      </c>
      <c r="X248">
        <v>0.95231039483806212</v>
      </c>
      <c r="Y248">
        <f t="shared" si="43"/>
        <v>3520</v>
      </c>
      <c r="Z248">
        <f t="shared" si="44"/>
        <v>2816</v>
      </c>
      <c r="AA248">
        <f t="shared" si="45"/>
        <v>2514</v>
      </c>
      <c r="AB248">
        <f t="shared" si="46"/>
        <v>1676</v>
      </c>
      <c r="AC248">
        <f t="shared" si="47"/>
        <v>2179</v>
      </c>
      <c r="AD248">
        <f t="shared" si="48"/>
        <v>1341</v>
      </c>
      <c r="AE248">
        <f t="shared" si="49"/>
        <v>1508</v>
      </c>
      <c r="AF248">
        <v>0.85</v>
      </c>
      <c r="AG248">
        <v>0.75</v>
      </c>
      <c r="AH248">
        <v>0.5</v>
      </c>
      <c r="AI248">
        <v>0.65</v>
      </c>
      <c r="AJ248">
        <v>0.4</v>
      </c>
      <c r="AK248">
        <v>0.45</v>
      </c>
      <c r="AL248" t="s">
        <v>1020</v>
      </c>
    </row>
    <row r="249" spans="1:38" x14ac:dyDescent="0.45">
      <c r="A249" t="s">
        <v>508</v>
      </c>
      <c r="B249" t="s">
        <v>37</v>
      </c>
      <c r="C249" t="s">
        <v>977</v>
      </c>
      <c r="D249" t="s">
        <v>978</v>
      </c>
      <c r="E249" t="s">
        <v>38</v>
      </c>
      <c r="F249" t="s">
        <v>979</v>
      </c>
      <c r="H249" t="s">
        <v>41</v>
      </c>
      <c r="I249">
        <v>32.5</v>
      </c>
      <c r="J249">
        <v>22.5</v>
      </c>
      <c r="K249">
        <v>1</v>
      </c>
      <c r="L249">
        <v>13</v>
      </c>
      <c r="M249">
        <f t="shared" si="27"/>
        <v>26.56</v>
      </c>
      <c r="N249">
        <v>0</v>
      </c>
      <c r="O249">
        <f t="shared" si="28"/>
        <v>863</v>
      </c>
      <c r="P249">
        <v>158</v>
      </c>
      <c r="Q249">
        <v>315</v>
      </c>
      <c r="R249" s="1">
        <v>4.0790000000000006</v>
      </c>
      <c r="S249" s="6">
        <v>0.94130680834308444</v>
      </c>
      <c r="T249">
        <v>0.95229052796857427</v>
      </c>
      <c r="U249">
        <v>0.95229052796857427</v>
      </c>
      <c r="V249">
        <v>0.95229052796857416</v>
      </c>
      <c r="W249">
        <v>0.95229052796857427</v>
      </c>
      <c r="X249">
        <v>0.95231039483806212</v>
      </c>
      <c r="Y249">
        <f t="shared" si="43"/>
        <v>3520</v>
      </c>
      <c r="Z249">
        <f t="shared" si="44"/>
        <v>2816</v>
      </c>
      <c r="AA249">
        <f t="shared" si="45"/>
        <v>2514</v>
      </c>
      <c r="AB249">
        <f t="shared" si="46"/>
        <v>1676</v>
      </c>
      <c r="AC249">
        <f t="shared" si="47"/>
        <v>2179</v>
      </c>
      <c r="AD249">
        <f t="shared" si="48"/>
        <v>1341</v>
      </c>
      <c r="AE249">
        <f t="shared" si="49"/>
        <v>1508</v>
      </c>
      <c r="AF249">
        <v>0.85</v>
      </c>
      <c r="AG249">
        <v>0.75</v>
      </c>
      <c r="AH249">
        <v>0.5</v>
      </c>
      <c r="AI249">
        <v>0.65</v>
      </c>
      <c r="AJ249">
        <v>0.4</v>
      </c>
      <c r="AK249">
        <v>0.45</v>
      </c>
      <c r="AL249" t="s">
        <v>1020</v>
      </c>
    </row>
    <row r="250" spans="1:38" x14ac:dyDescent="0.45">
      <c r="A250" t="s">
        <v>508</v>
      </c>
      <c r="B250" t="s">
        <v>37</v>
      </c>
      <c r="C250" t="s">
        <v>980</v>
      </c>
      <c r="D250" t="s">
        <v>981</v>
      </c>
      <c r="E250" t="s">
        <v>38</v>
      </c>
      <c r="F250" t="s">
        <v>982</v>
      </c>
      <c r="H250" t="s">
        <v>41</v>
      </c>
      <c r="I250">
        <v>32.5</v>
      </c>
      <c r="J250">
        <v>24</v>
      </c>
      <c r="K250">
        <v>1</v>
      </c>
      <c r="L250">
        <v>13</v>
      </c>
      <c r="M250">
        <f t="shared" si="27"/>
        <v>28.25</v>
      </c>
      <c r="N250">
        <v>0</v>
      </c>
      <c r="O250">
        <f t="shared" si="28"/>
        <v>918</v>
      </c>
      <c r="P250">
        <v>158</v>
      </c>
      <c r="Q250">
        <v>315</v>
      </c>
      <c r="R250" s="1">
        <v>4.0790000000000006</v>
      </c>
      <c r="S250" s="6">
        <v>0.94130680834308444</v>
      </c>
      <c r="T250">
        <v>0.95229052796857427</v>
      </c>
      <c r="U250">
        <v>0.95229052796857427</v>
      </c>
      <c r="V250">
        <v>0.95229052796857416</v>
      </c>
      <c r="W250">
        <v>0.95229052796857427</v>
      </c>
      <c r="X250">
        <v>0.95231039483806212</v>
      </c>
      <c r="Y250">
        <f t="shared" si="43"/>
        <v>3745</v>
      </c>
      <c r="Z250">
        <f t="shared" si="44"/>
        <v>2996</v>
      </c>
      <c r="AA250">
        <f t="shared" si="45"/>
        <v>2675</v>
      </c>
      <c r="AB250">
        <f t="shared" si="46"/>
        <v>1783</v>
      </c>
      <c r="AC250">
        <f t="shared" si="47"/>
        <v>2318</v>
      </c>
      <c r="AD250">
        <f t="shared" si="48"/>
        <v>1427</v>
      </c>
      <c r="AE250">
        <f t="shared" si="49"/>
        <v>1605</v>
      </c>
      <c r="AF250">
        <v>0.85</v>
      </c>
      <c r="AG250">
        <v>0.75</v>
      </c>
      <c r="AH250">
        <v>0.5</v>
      </c>
      <c r="AI250">
        <v>0.65</v>
      </c>
      <c r="AJ250">
        <v>0.4</v>
      </c>
      <c r="AK250">
        <v>0.45</v>
      </c>
      <c r="AL250" t="s">
        <v>164</v>
      </c>
    </row>
    <row r="251" spans="1:38" x14ac:dyDescent="0.45">
      <c r="A251" t="s">
        <v>508</v>
      </c>
      <c r="B251" t="s">
        <v>37</v>
      </c>
      <c r="C251" t="s">
        <v>983</v>
      </c>
      <c r="D251" t="s">
        <v>984</v>
      </c>
      <c r="E251" t="s">
        <v>38</v>
      </c>
      <c r="F251" t="s">
        <v>985</v>
      </c>
      <c r="H251" t="s">
        <v>41</v>
      </c>
      <c r="I251">
        <v>32.5</v>
      </c>
      <c r="J251">
        <v>24</v>
      </c>
      <c r="K251">
        <v>1</v>
      </c>
      <c r="L251">
        <v>13</v>
      </c>
      <c r="M251">
        <f t="shared" si="27"/>
        <v>28.25</v>
      </c>
      <c r="N251">
        <v>0</v>
      </c>
      <c r="O251">
        <f t="shared" si="28"/>
        <v>918</v>
      </c>
      <c r="P251">
        <v>158</v>
      </c>
      <c r="Q251">
        <v>315</v>
      </c>
      <c r="R251" s="1">
        <v>4.0790000000000006</v>
      </c>
      <c r="S251" s="6">
        <v>0.94130680834308444</v>
      </c>
      <c r="T251">
        <v>0.95229052796857427</v>
      </c>
      <c r="U251">
        <v>0.95229052796857427</v>
      </c>
      <c r="V251">
        <v>0.95229052796857416</v>
      </c>
      <c r="W251">
        <v>0.95229052796857427</v>
      </c>
      <c r="X251">
        <v>0.95231039483806212</v>
      </c>
      <c r="Y251">
        <f t="shared" si="43"/>
        <v>3745</v>
      </c>
      <c r="Z251">
        <f t="shared" si="44"/>
        <v>2996</v>
      </c>
      <c r="AA251">
        <f t="shared" si="45"/>
        <v>2675</v>
      </c>
      <c r="AB251">
        <f t="shared" si="46"/>
        <v>1783</v>
      </c>
      <c r="AC251">
        <f t="shared" si="47"/>
        <v>2318</v>
      </c>
      <c r="AD251">
        <f t="shared" si="48"/>
        <v>1427</v>
      </c>
      <c r="AE251">
        <f t="shared" si="49"/>
        <v>1605</v>
      </c>
      <c r="AF251">
        <v>0.85</v>
      </c>
      <c r="AG251">
        <v>0.75</v>
      </c>
      <c r="AH251">
        <v>0.5</v>
      </c>
      <c r="AI251">
        <v>0.65</v>
      </c>
      <c r="AJ251">
        <v>0.4</v>
      </c>
      <c r="AK251">
        <v>0.45</v>
      </c>
      <c r="AL251" t="s">
        <v>164</v>
      </c>
    </row>
    <row r="252" spans="1:38" x14ac:dyDescent="0.45">
      <c r="A252" t="s">
        <v>508</v>
      </c>
      <c r="B252" t="s">
        <v>37</v>
      </c>
      <c r="C252" t="s">
        <v>986</v>
      </c>
      <c r="D252" t="s">
        <v>987</v>
      </c>
      <c r="E252" t="s">
        <v>38</v>
      </c>
      <c r="F252" t="s">
        <v>988</v>
      </c>
      <c r="H252" t="s">
        <v>41</v>
      </c>
      <c r="I252">
        <v>32.5</v>
      </c>
      <c r="J252">
        <v>22.5</v>
      </c>
      <c r="K252">
        <v>1</v>
      </c>
      <c r="L252">
        <v>13</v>
      </c>
      <c r="M252">
        <f t="shared" si="27"/>
        <v>26.56</v>
      </c>
      <c r="N252">
        <v>0</v>
      </c>
      <c r="O252">
        <f t="shared" si="28"/>
        <v>863</v>
      </c>
      <c r="P252">
        <v>158</v>
      </c>
      <c r="Q252">
        <v>315</v>
      </c>
      <c r="R252" s="1">
        <v>4.0790000000000006</v>
      </c>
      <c r="S252" s="6">
        <v>0.94130680834308444</v>
      </c>
      <c r="T252">
        <v>0.95229052796857427</v>
      </c>
      <c r="U252">
        <v>0.95229052796857427</v>
      </c>
      <c r="V252">
        <v>0.95229052796857416</v>
      </c>
      <c r="W252">
        <v>0.95229052796857427</v>
      </c>
      <c r="X252">
        <v>0.95231039483806212</v>
      </c>
      <c r="Y252">
        <f t="shared" si="43"/>
        <v>3520</v>
      </c>
      <c r="Z252">
        <f t="shared" si="44"/>
        <v>2816</v>
      </c>
      <c r="AA252">
        <f t="shared" si="45"/>
        <v>2514</v>
      </c>
      <c r="AB252">
        <f t="shared" si="46"/>
        <v>1676</v>
      </c>
      <c r="AC252">
        <f t="shared" si="47"/>
        <v>2179</v>
      </c>
      <c r="AD252">
        <f t="shared" si="48"/>
        <v>1341</v>
      </c>
      <c r="AE252">
        <f t="shared" si="49"/>
        <v>1508</v>
      </c>
      <c r="AF252">
        <v>0.85</v>
      </c>
      <c r="AG252">
        <v>0.75</v>
      </c>
      <c r="AH252">
        <v>0.5</v>
      </c>
      <c r="AI252">
        <v>0.65</v>
      </c>
      <c r="AJ252">
        <v>0.4</v>
      </c>
      <c r="AK252">
        <v>0.45</v>
      </c>
      <c r="AL252" t="s">
        <v>1020</v>
      </c>
    </row>
    <row r="253" spans="1:38" x14ac:dyDescent="0.45">
      <c r="A253" t="s">
        <v>508</v>
      </c>
      <c r="B253" t="s">
        <v>37</v>
      </c>
      <c r="C253" t="s">
        <v>989</v>
      </c>
      <c r="D253" t="s">
        <v>990</v>
      </c>
      <c r="E253" t="s">
        <v>38</v>
      </c>
      <c r="F253" t="s">
        <v>991</v>
      </c>
      <c r="H253" t="s">
        <v>41</v>
      </c>
      <c r="I253">
        <v>32.5</v>
      </c>
      <c r="J253">
        <v>22.5</v>
      </c>
      <c r="K253">
        <v>1</v>
      </c>
      <c r="L253">
        <v>13</v>
      </c>
      <c r="M253">
        <f t="shared" si="27"/>
        <v>26.56</v>
      </c>
      <c r="N253">
        <v>0</v>
      </c>
      <c r="O253">
        <f t="shared" si="28"/>
        <v>863</v>
      </c>
      <c r="P253">
        <v>158</v>
      </c>
      <c r="Q253">
        <v>315</v>
      </c>
      <c r="R253" s="1">
        <v>4.0790000000000006</v>
      </c>
      <c r="S253" s="6">
        <v>0.94130680834308444</v>
      </c>
      <c r="T253">
        <v>0.95229052796857427</v>
      </c>
      <c r="U253">
        <v>0.95229052796857427</v>
      </c>
      <c r="V253">
        <v>0.95229052796857416</v>
      </c>
      <c r="W253">
        <v>0.95229052796857427</v>
      </c>
      <c r="X253">
        <v>0.95231039483806212</v>
      </c>
      <c r="Y253">
        <f t="shared" si="43"/>
        <v>3520</v>
      </c>
      <c r="Z253">
        <f t="shared" si="44"/>
        <v>2816</v>
      </c>
      <c r="AA253">
        <f t="shared" si="45"/>
        <v>2514</v>
      </c>
      <c r="AB253">
        <f t="shared" si="46"/>
        <v>1676</v>
      </c>
      <c r="AC253">
        <f t="shared" si="47"/>
        <v>2179</v>
      </c>
      <c r="AD253">
        <f t="shared" si="48"/>
        <v>1341</v>
      </c>
      <c r="AE253">
        <f t="shared" si="49"/>
        <v>1508</v>
      </c>
      <c r="AF253">
        <v>0.85</v>
      </c>
      <c r="AG253">
        <v>0.75</v>
      </c>
      <c r="AH253">
        <v>0.5</v>
      </c>
      <c r="AI253">
        <v>0.65</v>
      </c>
      <c r="AJ253">
        <v>0.4</v>
      </c>
      <c r="AK253">
        <v>0.45</v>
      </c>
      <c r="AL253" t="s">
        <v>1020</v>
      </c>
    </row>
    <row r="254" spans="1:38" x14ac:dyDescent="0.45">
      <c r="A254" t="s">
        <v>508</v>
      </c>
      <c r="B254" t="s">
        <v>37</v>
      </c>
      <c r="C254" t="s">
        <v>992</v>
      </c>
      <c r="D254" t="s">
        <v>993</v>
      </c>
      <c r="E254" t="s">
        <v>38</v>
      </c>
      <c r="F254" t="s">
        <v>994</v>
      </c>
      <c r="H254" t="s">
        <v>41</v>
      </c>
      <c r="I254">
        <v>32.5</v>
      </c>
      <c r="J254">
        <v>22.5</v>
      </c>
      <c r="K254">
        <v>1</v>
      </c>
      <c r="L254">
        <v>13</v>
      </c>
      <c r="M254">
        <f t="shared" si="27"/>
        <v>26.56</v>
      </c>
      <c r="N254">
        <v>0</v>
      </c>
      <c r="O254">
        <f t="shared" si="28"/>
        <v>863</v>
      </c>
      <c r="P254">
        <v>158</v>
      </c>
      <c r="Q254">
        <v>315</v>
      </c>
      <c r="R254" s="1">
        <v>4.0790000000000006</v>
      </c>
      <c r="S254" s="6">
        <v>0.94130680834308444</v>
      </c>
      <c r="T254">
        <v>0.95229052796857427</v>
      </c>
      <c r="U254">
        <v>0.95229052796857427</v>
      </c>
      <c r="V254">
        <v>0.95229052796857416</v>
      </c>
      <c r="W254">
        <v>0.95229052796857427</v>
      </c>
      <c r="X254">
        <v>0.95231039483806212</v>
      </c>
      <c r="Y254">
        <f t="shared" si="43"/>
        <v>3520</v>
      </c>
      <c r="Z254">
        <f t="shared" si="44"/>
        <v>2816</v>
      </c>
      <c r="AA254">
        <f t="shared" si="45"/>
        <v>2514</v>
      </c>
      <c r="AB254">
        <f t="shared" si="46"/>
        <v>1676</v>
      </c>
      <c r="AC254">
        <f t="shared" si="47"/>
        <v>2179</v>
      </c>
      <c r="AD254">
        <f t="shared" si="48"/>
        <v>1341</v>
      </c>
      <c r="AE254">
        <f t="shared" si="49"/>
        <v>1508</v>
      </c>
      <c r="AF254">
        <v>0.85</v>
      </c>
      <c r="AG254">
        <v>0.75</v>
      </c>
      <c r="AH254">
        <v>0.5</v>
      </c>
      <c r="AI254">
        <v>0.65</v>
      </c>
      <c r="AJ254">
        <v>0.4</v>
      </c>
      <c r="AK254">
        <v>0.45</v>
      </c>
      <c r="AL254" t="s">
        <v>164</v>
      </c>
    </row>
    <row r="255" spans="1:38" x14ac:dyDescent="0.45">
      <c r="A255" t="s">
        <v>508</v>
      </c>
      <c r="B255" t="s">
        <v>37</v>
      </c>
      <c r="C255" t="s">
        <v>995</v>
      </c>
      <c r="D255" t="s">
        <v>996</v>
      </c>
      <c r="E255" t="s">
        <v>38</v>
      </c>
      <c r="F255" t="s">
        <v>997</v>
      </c>
      <c r="H255" t="s">
        <v>41</v>
      </c>
      <c r="I255">
        <v>32.5</v>
      </c>
      <c r="J255">
        <v>22.5</v>
      </c>
      <c r="K255">
        <v>1</v>
      </c>
      <c r="L255">
        <v>13</v>
      </c>
      <c r="M255">
        <f t="shared" si="27"/>
        <v>26.56</v>
      </c>
      <c r="N255">
        <v>0</v>
      </c>
      <c r="O255">
        <f t="shared" si="28"/>
        <v>863</v>
      </c>
      <c r="P255">
        <v>158</v>
      </c>
      <c r="Q255">
        <v>315</v>
      </c>
      <c r="R255" s="1">
        <v>4.0790000000000006</v>
      </c>
      <c r="S255" s="6">
        <v>0.94130680834308444</v>
      </c>
      <c r="T255">
        <v>0.95229052796857427</v>
      </c>
      <c r="U255">
        <v>0.95229052796857427</v>
      </c>
      <c r="V255">
        <v>0.95229052796857416</v>
      </c>
      <c r="W255">
        <v>0.95229052796857427</v>
      </c>
      <c r="X255">
        <v>0.95231039483806212</v>
      </c>
      <c r="Y255">
        <f t="shared" si="43"/>
        <v>3520</v>
      </c>
      <c r="Z255">
        <f t="shared" si="44"/>
        <v>2816</v>
      </c>
      <c r="AA255">
        <f t="shared" si="45"/>
        <v>2514</v>
      </c>
      <c r="AB255">
        <f t="shared" si="46"/>
        <v>1676</v>
      </c>
      <c r="AC255">
        <f t="shared" si="47"/>
        <v>2179</v>
      </c>
      <c r="AD255">
        <f t="shared" si="48"/>
        <v>1341</v>
      </c>
      <c r="AE255">
        <f t="shared" si="49"/>
        <v>1508</v>
      </c>
      <c r="AF255">
        <v>0.85</v>
      </c>
      <c r="AG255">
        <v>0.75</v>
      </c>
      <c r="AH255">
        <v>0.5</v>
      </c>
      <c r="AI255">
        <v>0.65</v>
      </c>
      <c r="AJ255">
        <v>0.4</v>
      </c>
      <c r="AK255">
        <v>0.45</v>
      </c>
      <c r="AL255" t="s">
        <v>164</v>
      </c>
    </row>
    <row r="256" spans="1:38" x14ac:dyDescent="0.45">
      <c r="A256" t="s">
        <v>508</v>
      </c>
      <c r="B256" t="s">
        <v>37</v>
      </c>
      <c r="C256" t="s">
        <v>998</v>
      </c>
      <c r="D256" t="s">
        <v>999</v>
      </c>
      <c r="E256" t="s">
        <v>38</v>
      </c>
      <c r="F256" t="s">
        <v>1000</v>
      </c>
      <c r="H256" t="s">
        <v>41</v>
      </c>
      <c r="I256">
        <v>32.5</v>
      </c>
      <c r="J256">
        <v>21</v>
      </c>
      <c r="K256">
        <v>1</v>
      </c>
      <c r="L256">
        <v>13</v>
      </c>
      <c r="M256">
        <f t="shared" si="27"/>
        <v>24.86</v>
      </c>
      <c r="N256">
        <v>0</v>
      </c>
      <c r="O256">
        <f t="shared" si="28"/>
        <v>808</v>
      </c>
      <c r="P256">
        <v>158</v>
      </c>
      <c r="Q256">
        <v>315</v>
      </c>
      <c r="R256" s="1">
        <v>4.0790000000000006</v>
      </c>
      <c r="S256" s="6">
        <v>0.94130680834308444</v>
      </c>
      <c r="T256">
        <v>0.95229052796857427</v>
      </c>
      <c r="U256">
        <v>0.95229052796857427</v>
      </c>
      <c r="V256">
        <v>0.95229052796857416</v>
      </c>
      <c r="W256">
        <v>0.95229052796857427</v>
      </c>
      <c r="X256">
        <v>0.95231039483806212</v>
      </c>
      <c r="Y256">
        <f t="shared" si="43"/>
        <v>3296</v>
      </c>
      <c r="Z256">
        <f t="shared" si="44"/>
        <v>2637</v>
      </c>
      <c r="AA256">
        <f t="shared" si="45"/>
        <v>2354</v>
      </c>
      <c r="AB256">
        <f t="shared" si="46"/>
        <v>1569</v>
      </c>
      <c r="AC256">
        <f t="shared" si="47"/>
        <v>2040</v>
      </c>
      <c r="AD256">
        <f t="shared" si="48"/>
        <v>1255</v>
      </c>
      <c r="AE256">
        <f t="shared" si="49"/>
        <v>1412</v>
      </c>
      <c r="AF256">
        <v>0.85</v>
      </c>
      <c r="AG256">
        <v>0.75</v>
      </c>
      <c r="AH256">
        <v>0.5</v>
      </c>
      <c r="AI256">
        <v>0.65</v>
      </c>
      <c r="AJ256">
        <v>0.4</v>
      </c>
      <c r="AK256">
        <v>0.45</v>
      </c>
      <c r="AL256" t="s">
        <v>1020</v>
      </c>
    </row>
    <row r="257" spans="1:38" x14ac:dyDescent="0.45">
      <c r="A257" t="s">
        <v>508</v>
      </c>
      <c r="B257" t="s">
        <v>37</v>
      </c>
      <c r="C257" t="s">
        <v>1001</v>
      </c>
      <c r="D257" t="s">
        <v>1002</v>
      </c>
      <c r="E257" t="s">
        <v>38</v>
      </c>
      <c r="F257" t="s">
        <v>1003</v>
      </c>
      <c r="H257" t="s">
        <v>41</v>
      </c>
      <c r="I257">
        <v>32.5</v>
      </c>
      <c r="J257">
        <v>21</v>
      </c>
      <c r="K257">
        <v>1</v>
      </c>
      <c r="L257">
        <v>13</v>
      </c>
      <c r="M257">
        <f t="shared" si="27"/>
        <v>24.86</v>
      </c>
      <c r="N257">
        <v>0</v>
      </c>
      <c r="O257">
        <f t="shared" si="28"/>
        <v>808</v>
      </c>
      <c r="P257">
        <v>158</v>
      </c>
      <c r="Q257">
        <v>315</v>
      </c>
      <c r="R257" s="1">
        <v>4.0790000000000006</v>
      </c>
      <c r="S257" s="6">
        <v>0.94130680834308444</v>
      </c>
      <c r="T257">
        <v>0.95229052796857427</v>
      </c>
      <c r="U257">
        <v>0.95229052796857427</v>
      </c>
      <c r="V257">
        <v>0.95229052796857416</v>
      </c>
      <c r="W257">
        <v>0.95229052796857427</v>
      </c>
      <c r="X257">
        <v>0.95231039483806212</v>
      </c>
      <c r="Y257">
        <f t="shared" si="43"/>
        <v>3296</v>
      </c>
      <c r="Z257">
        <f t="shared" si="44"/>
        <v>2637</v>
      </c>
      <c r="AA257">
        <f t="shared" si="45"/>
        <v>2354</v>
      </c>
      <c r="AB257">
        <f t="shared" si="46"/>
        <v>1569</v>
      </c>
      <c r="AC257">
        <f t="shared" si="47"/>
        <v>2040</v>
      </c>
      <c r="AD257">
        <f t="shared" si="48"/>
        <v>1255</v>
      </c>
      <c r="AE257">
        <f t="shared" si="49"/>
        <v>1412</v>
      </c>
      <c r="AF257">
        <v>0.85</v>
      </c>
      <c r="AG257">
        <v>0.75</v>
      </c>
      <c r="AH257">
        <v>0.5</v>
      </c>
      <c r="AI257">
        <v>0.65</v>
      </c>
      <c r="AJ257">
        <v>0.4</v>
      </c>
      <c r="AK257">
        <v>0.45</v>
      </c>
      <c r="AL257" t="s">
        <v>1020</v>
      </c>
    </row>
    <row r="258" spans="1:38" x14ac:dyDescent="0.45">
      <c r="A258" t="s">
        <v>508</v>
      </c>
      <c r="B258" t="s">
        <v>37</v>
      </c>
      <c r="C258" t="s">
        <v>1004</v>
      </c>
      <c r="D258" t="s">
        <v>1005</v>
      </c>
      <c r="E258" t="s">
        <v>38</v>
      </c>
      <c r="F258" t="s">
        <v>1006</v>
      </c>
      <c r="H258" t="s">
        <v>41</v>
      </c>
      <c r="I258">
        <v>32.5</v>
      </c>
      <c r="J258">
        <v>22.5</v>
      </c>
      <c r="K258">
        <v>1</v>
      </c>
      <c r="L258">
        <v>13</v>
      </c>
      <c r="M258">
        <f t="shared" si="27"/>
        <v>26.56</v>
      </c>
      <c r="N258">
        <v>0</v>
      </c>
      <c r="O258">
        <f t="shared" si="28"/>
        <v>863</v>
      </c>
      <c r="P258">
        <v>158</v>
      </c>
      <c r="Q258">
        <v>315</v>
      </c>
      <c r="R258" s="1">
        <v>4.0790000000000006</v>
      </c>
      <c r="S258" s="6">
        <v>0.94130680834308444</v>
      </c>
      <c r="T258">
        <v>0.95229052796857427</v>
      </c>
      <c r="U258">
        <v>0.95229052796857427</v>
      </c>
      <c r="V258">
        <v>0.95229052796857416</v>
      </c>
      <c r="W258">
        <v>0.95229052796857427</v>
      </c>
      <c r="X258">
        <v>0.95231039483806212</v>
      </c>
      <c r="Y258">
        <f t="shared" si="43"/>
        <v>3520</v>
      </c>
      <c r="Z258">
        <f t="shared" si="44"/>
        <v>2816</v>
      </c>
      <c r="AA258">
        <f t="shared" si="45"/>
        <v>2514</v>
      </c>
      <c r="AB258">
        <f t="shared" si="46"/>
        <v>1676</v>
      </c>
      <c r="AC258">
        <f t="shared" si="47"/>
        <v>2179</v>
      </c>
      <c r="AD258">
        <f t="shared" si="48"/>
        <v>1341</v>
      </c>
      <c r="AE258">
        <f t="shared" si="49"/>
        <v>1508</v>
      </c>
      <c r="AF258">
        <v>0.85</v>
      </c>
      <c r="AG258">
        <v>0.75</v>
      </c>
      <c r="AH258">
        <v>0.5</v>
      </c>
      <c r="AI258">
        <v>0.65</v>
      </c>
      <c r="AJ258">
        <v>0.4</v>
      </c>
      <c r="AK258">
        <v>0.45</v>
      </c>
      <c r="AL258" t="s">
        <v>164</v>
      </c>
    </row>
    <row r="259" spans="1:38" x14ac:dyDescent="0.45">
      <c r="A259" t="s">
        <v>508</v>
      </c>
      <c r="B259" t="s">
        <v>37</v>
      </c>
      <c r="C259" t="s">
        <v>1007</v>
      </c>
      <c r="D259" t="s">
        <v>1008</v>
      </c>
      <c r="E259" t="s">
        <v>38</v>
      </c>
      <c r="F259" t="s">
        <v>1009</v>
      </c>
      <c r="H259" t="s">
        <v>41</v>
      </c>
      <c r="I259">
        <v>32.5</v>
      </c>
      <c r="J259">
        <v>22.5</v>
      </c>
      <c r="K259">
        <v>1</v>
      </c>
      <c r="L259">
        <v>13</v>
      </c>
      <c r="M259">
        <f t="shared" si="27"/>
        <v>26.56</v>
      </c>
      <c r="N259">
        <v>0</v>
      </c>
      <c r="O259">
        <f t="shared" si="28"/>
        <v>863</v>
      </c>
      <c r="P259">
        <v>158</v>
      </c>
      <c r="Q259">
        <v>315</v>
      </c>
      <c r="R259" s="1">
        <v>4.0790000000000006</v>
      </c>
      <c r="S259" s="6">
        <v>0.94130680834308444</v>
      </c>
      <c r="T259">
        <v>0.95229052796857427</v>
      </c>
      <c r="U259">
        <v>0.95229052796857427</v>
      </c>
      <c r="V259">
        <v>0.95229052796857416</v>
      </c>
      <c r="W259">
        <v>0.95229052796857427</v>
      </c>
      <c r="X259">
        <v>0.95231039483806212</v>
      </c>
      <c r="Y259">
        <f t="shared" si="43"/>
        <v>3520</v>
      </c>
      <c r="Z259">
        <f t="shared" si="44"/>
        <v>2816</v>
      </c>
      <c r="AA259">
        <f t="shared" si="45"/>
        <v>2514</v>
      </c>
      <c r="AB259">
        <f t="shared" si="46"/>
        <v>1676</v>
      </c>
      <c r="AC259">
        <f t="shared" si="47"/>
        <v>2179</v>
      </c>
      <c r="AD259">
        <f t="shared" si="48"/>
        <v>1341</v>
      </c>
      <c r="AE259">
        <f t="shared" si="49"/>
        <v>1508</v>
      </c>
      <c r="AF259">
        <v>0.85</v>
      </c>
      <c r="AG259">
        <v>0.75</v>
      </c>
      <c r="AH259">
        <v>0.5</v>
      </c>
      <c r="AI259">
        <v>0.65</v>
      </c>
      <c r="AJ259">
        <v>0.4</v>
      </c>
      <c r="AK259">
        <v>0.45</v>
      </c>
      <c r="AL259" t="s">
        <v>164</v>
      </c>
    </row>
    <row r="260" spans="1:38" x14ac:dyDescent="0.45">
      <c r="A260" t="s">
        <v>508</v>
      </c>
      <c r="B260" t="s">
        <v>37</v>
      </c>
      <c r="C260" t="s">
        <v>1010</v>
      </c>
      <c r="D260" t="s">
        <v>1011</v>
      </c>
      <c r="E260" t="s">
        <v>38</v>
      </c>
      <c r="F260" t="s">
        <v>1012</v>
      </c>
      <c r="H260" t="s">
        <v>41</v>
      </c>
      <c r="I260">
        <v>32.5</v>
      </c>
      <c r="J260">
        <v>21</v>
      </c>
      <c r="K260">
        <v>1</v>
      </c>
      <c r="L260">
        <v>13</v>
      </c>
      <c r="M260">
        <f t="shared" ref="M260:M262" si="50">ROUND(IF(L260&lt;1,(J260+K260)*L260+(J260+K260),(J260+K260)*(L260/100)+(J260+K260)),2)</f>
        <v>24.86</v>
      </c>
      <c r="N260">
        <v>0</v>
      </c>
      <c r="O260">
        <f t="shared" ref="O260:O262" si="51">ROUND(M260*I260+N260,0)</f>
        <v>808</v>
      </c>
      <c r="P260">
        <v>158</v>
      </c>
      <c r="Q260">
        <v>315</v>
      </c>
      <c r="R260" s="1">
        <v>4.0790000000000006</v>
      </c>
      <c r="S260" s="6">
        <v>0.94130680834308444</v>
      </c>
      <c r="T260">
        <v>0.95229052796857427</v>
      </c>
      <c r="U260">
        <v>0.95229052796857427</v>
      </c>
      <c r="V260">
        <v>0.95229052796857416</v>
      </c>
      <c r="W260">
        <v>0.95229052796857427</v>
      </c>
      <c r="X260">
        <v>0.95231039483806212</v>
      </c>
      <c r="Y260">
        <f t="shared" si="43"/>
        <v>3296</v>
      </c>
      <c r="Z260">
        <f t="shared" si="44"/>
        <v>2637</v>
      </c>
      <c r="AA260">
        <f t="shared" si="45"/>
        <v>2354</v>
      </c>
      <c r="AB260">
        <f t="shared" si="46"/>
        <v>1569</v>
      </c>
      <c r="AC260">
        <f t="shared" si="47"/>
        <v>2040</v>
      </c>
      <c r="AD260">
        <f t="shared" si="48"/>
        <v>1255</v>
      </c>
      <c r="AE260">
        <f t="shared" si="49"/>
        <v>1412</v>
      </c>
      <c r="AF260">
        <v>0.85</v>
      </c>
      <c r="AG260">
        <v>0.75</v>
      </c>
      <c r="AH260">
        <v>0.5</v>
      </c>
      <c r="AI260">
        <v>0.65</v>
      </c>
      <c r="AJ260">
        <v>0.4</v>
      </c>
      <c r="AK260">
        <v>0.45</v>
      </c>
      <c r="AL260" t="s">
        <v>1020</v>
      </c>
    </row>
    <row r="261" spans="1:38" x14ac:dyDescent="0.45">
      <c r="A261" t="s">
        <v>508</v>
      </c>
      <c r="B261" t="s">
        <v>37</v>
      </c>
      <c r="C261" t="s">
        <v>1013</v>
      </c>
      <c r="D261" t="s">
        <v>1014</v>
      </c>
      <c r="E261" t="s">
        <v>38</v>
      </c>
      <c r="F261" t="s">
        <v>1015</v>
      </c>
      <c r="H261" t="s">
        <v>41</v>
      </c>
      <c r="I261">
        <v>32.5</v>
      </c>
      <c r="J261">
        <v>21</v>
      </c>
      <c r="K261">
        <v>1</v>
      </c>
      <c r="L261">
        <v>13</v>
      </c>
      <c r="M261">
        <f t="shared" si="50"/>
        <v>24.86</v>
      </c>
      <c r="N261">
        <v>0</v>
      </c>
      <c r="O261">
        <f t="shared" si="51"/>
        <v>808</v>
      </c>
      <c r="P261">
        <v>158</v>
      </c>
      <c r="Q261">
        <v>315</v>
      </c>
      <c r="R261" s="1">
        <v>4.0790000000000006</v>
      </c>
      <c r="S261" s="6">
        <v>0.94130680834308444</v>
      </c>
      <c r="T261">
        <v>0.95229052796857427</v>
      </c>
      <c r="U261">
        <v>0.95229052796857427</v>
      </c>
      <c r="V261">
        <v>0.95229052796857416</v>
      </c>
      <c r="W261">
        <v>0.95229052796857427</v>
      </c>
      <c r="X261">
        <v>0.95231039483806212</v>
      </c>
      <c r="Y261">
        <f t="shared" si="43"/>
        <v>3296</v>
      </c>
      <c r="Z261">
        <f t="shared" si="44"/>
        <v>2637</v>
      </c>
      <c r="AA261">
        <f t="shared" si="45"/>
        <v>2354</v>
      </c>
      <c r="AB261">
        <f t="shared" si="46"/>
        <v>1569</v>
      </c>
      <c r="AC261">
        <f t="shared" si="47"/>
        <v>2040</v>
      </c>
      <c r="AD261">
        <f t="shared" si="48"/>
        <v>1255</v>
      </c>
      <c r="AE261">
        <f t="shared" si="49"/>
        <v>1412</v>
      </c>
      <c r="AF261">
        <v>0.85</v>
      </c>
      <c r="AG261">
        <v>0.75</v>
      </c>
      <c r="AH261">
        <v>0.5</v>
      </c>
      <c r="AI261">
        <v>0.65</v>
      </c>
      <c r="AJ261">
        <v>0.4</v>
      </c>
      <c r="AK261">
        <v>0.45</v>
      </c>
      <c r="AL261" t="s">
        <v>1020</v>
      </c>
    </row>
    <row r="262" spans="1:38" x14ac:dyDescent="0.45">
      <c r="A262" t="s">
        <v>898</v>
      </c>
      <c r="B262" t="s">
        <v>37</v>
      </c>
      <c r="C262" t="s">
        <v>283</v>
      </c>
      <c r="D262" t="s">
        <v>1016</v>
      </c>
      <c r="E262" t="s">
        <v>1017</v>
      </c>
      <c r="F262" t="s">
        <v>1018</v>
      </c>
      <c r="H262" t="s">
        <v>41</v>
      </c>
      <c r="I262">
        <v>32.5</v>
      </c>
      <c r="J262">
        <v>122</v>
      </c>
      <c r="K262">
        <v>1</v>
      </c>
      <c r="L262">
        <v>13</v>
      </c>
      <c r="M262">
        <f t="shared" si="50"/>
        <v>138.99</v>
      </c>
      <c r="N262">
        <v>0</v>
      </c>
      <c r="O262">
        <f t="shared" si="51"/>
        <v>4517</v>
      </c>
      <c r="P262">
        <v>210</v>
      </c>
      <c r="Q262">
        <v>525</v>
      </c>
      <c r="R262" s="1">
        <v>3.3609999999999998</v>
      </c>
      <c r="S262" s="6">
        <v>0.94089202119106485</v>
      </c>
      <c r="T262">
        <v>0.95217541390276295</v>
      </c>
      <c r="U262">
        <v>0.95212677396539569</v>
      </c>
      <c r="V262">
        <v>0.95218289697005043</v>
      </c>
      <c r="W262">
        <v>0.95212677396539569</v>
      </c>
      <c r="X262">
        <v>0.95217418037804435</v>
      </c>
      <c r="Y262">
        <f t="shared" si="43"/>
        <v>15182</v>
      </c>
      <c r="Z262">
        <f t="shared" si="44"/>
        <v>12142</v>
      </c>
      <c r="AA262">
        <f t="shared" si="45"/>
        <v>10842</v>
      </c>
      <c r="AB262">
        <f t="shared" si="46"/>
        <v>7228</v>
      </c>
      <c r="AC262">
        <f t="shared" si="47"/>
        <v>9396</v>
      </c>
      <c r="AD262">
        <f t="shared" si="48"/>
        <v>5782</v>
      </c>
      <c r="AE262">
        <f t="shared" si="49"/>
        <v>6505</v>
      </c>
      <c r="AF262">
        <v>0.85</v>
      </c>
      <c r="AG262">
        <v>0.75</v>
      </c>
      <c r="AH262">
        <v>0.5</v>
      </c>
      <c r="AI262">
        <v>0.65</v>
      </c>
      <c r="AJ262">
        <v>0.4</v>
      </c>
      <c r="AK262">
        <v>0.45</v>
      </c>
      <c r="AL262" t="s">
        <v>282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系統匯入資料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Root Chang</cp:lastModifiedBy>
  <dcterms:created xsi:type="dcterms:W3CDTF">2026-04-18T11:08:56Z</dcterms:created>
  <dcterms:modified xsi:type="dcterms:W3CDTF">2026-04-21T08:04:31Z</dcterms:modified>
</cp:coreProperties>
</file>